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tems" sheetId="2" state="visible" r:id="rId4"/>
    <sheet name="Vehicles" sheetId="3" state="visible" r:id="rId5"/>
    <sheet name="Load band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1" authorId="0">
      <text>
        <r>
          <rPr>
            <sz val="10"/>
            <rFont val="Arial"/>
            <family val="2"/>
          </rPr>
          <t xml:space="preserve">Bounding box, for comparison only. Blank for whole-home presets, which have no meaningful dimensions.</t>
        </r>
      </text>
    </comment>
    <comment ref="Q1" authorId="0">
      <text>
        <r>
          <rPr>
            <sz val="10"/>
            <rFont val="Arial"/>
            <family val="2"/>
          </rPr>
          <t xml:space="preserve">volume_cft divided by the bounding box. Typically 0.3-0.9. Turns RED above 1.0 for items over 3 cu.ft, which means volume_cft was probably copied from l x w x h by mistake. Small items are exempt - a laptop needs a padded bag.</t>
        </r>
      </text>
    </comment>
  </commentList>
</comments>
</file>

<file path=xl/sharedStrings.xml><?xml version="1.0" encoding="utf-8"?>
<sst xmlns="http://schemas.openxmlformats.org/spreadsheetml/2006/main" count="674" uniqueCount="313">
  <si>
    <t xml:space="preserve">Smart Shifting — item catalog</t>
  </si>
  <si>
    <t xml:space="preserve">Source data for GET /moving/items. Ops edits this; the backend loads it.</t>
  </si>
  <si>
    <t xml:space="preserve">WHICH CELLS TO EDIT</t>
  </si>
  <si>
    <t xml:space="preserve">On the 'Items' sheet every BLUE value is yours. The two 'Check' columns are formulas.</t>
  </si>
  <si>
    <t xml:space="preserve">Add an item by copying the last row down and giving it a unique item_id.</t>
  </si>
  <si>
    <t xml:space="preserve">Retire an item with is_active = false — never delete the row. Past bookings reference</t>
  </si>
  <si>
    <t xml:space="preserve">item_id, and a deleted row turns those records into orphans.</t>
  </si>
  <si>
    <t xml:space="preserve">THE ONE THING TO GET RIGHT: volume_cft is NOT length x width x height</t>
  </si>
  <si>
    <t xml:space="preserve">volume_cft is the space an item takes ON A LOADED VEHICLE. A dining table travels on its</t>
  </si>
  <si>
    <t xml:space="preserve">side with the chairs stacked into the gap, so it books at far less than its bounding box.</t>
  </si>
  <si>
    <t xml:space="preserve">The l/w/h columns are only so the app can show the customer 'approx 6.5 x 3 x 3 ft'.</t>
  </si>
  <si>
    <t xml:space="preserve">They are never multiplied together to produce a volume.</t>
  </si>
  <si>
    <t xml:space="preserve">THE INVARIANT THE CHECK COLUMNS ENFORCE</t>
  </si>
  <si>
    <t xml:space="preserve">For any item over about 3 cu.ft, volume_cft must be LESS than l x w x h — a rigid object</t>
  </si>
  <si>
    <t xml:space="preserve">cannot take more room than its own bounding box. 'Check: ratio' turns RED when this is</t>
  </si>
  <si>
    <t xml:space="preserve">broken. Building this sheet caught eight rows that had drifted (a TV unit at 15 cft inside</t>
  </si>
  <si>
    <t xml:space="preserve">a 12 cft box), because the volumes and the dimensions were written at different times.</t>
  </si>
  <si>
    <t xml:space="preserve">Small items are the deliberate exception: a laptop needs a padded bag, so under ~3 cu.ft</t>
  </si>
  <si>
    <t xml:space="preserve">a ratio above 1 is fine and is not flagged.</t>
  </si>
  <si>
    <t xml:space="preserve">ERR ON THE GENEROUS SIDE</t>
  </si>
  <si>
    <t xml:space="preserve">A vehicle one size too big costs the customer a few hundred rupees. One size too small</t>
  </si>
  <si>
    <t xml:space="preserve">costs them the whole day, and costs us the trip. When unsure, round volume_cft up.</t>
  </si>
  <si>
    <t xml:space="preserve">is_bulky MEANS AWKWARD, NOT LARGE</t>
  </si>
  <si>
    <t xml:space="preserve">Set it for anything needing two people or a wide doorway — a mattress, a wardrobe, a</t>
  </si>
  <si>
    <t xml:space="preserve">double-door fridge. It adds packing allowance AND removes the 'anything bulky?' question</t>
  </si>
  <si>
    <t xml:space="preserve">from the customer's flow, because we already know the answer for that load.</t>
  </si>
  <si>
    <t xml:space="preserve">is_preset IS FOR WHOLE HOMES ONLY</t>
  </si>
  <si>
    <t xml:space="preserve">1 RK through 4 BHK. These REPLACE the customer's item list rather than adding to it, so</t>
  </si>
  <si>
    <t xml:space="preserve">they must never be mixed with single items.</t>
  </si>
  <si>
    <t xml:space="preserve">item_id</t>
  </si>
  <si>
    <t xml:space="preserve">name</t>
  </si>
  <si>
    <t xml:space="preserve">category</t>
  </si>
  <si>
    <t xml:space="preserve">icon</t>
  </si>
  <si>
    <t xml:space="preserve">volume_cft</t>
  </si>
  <si>
    <t xml:space="preserve">weight_kg</t>
  </si>
  <si>
    <t xml:space="preserve">length_ft</t>
  </si>
  <si>
    <t xml:space="preserve">width_ft</t>
  </si>
  <si>
    <t xml:space="preserve">height_ft</t>
  </si>
  <si>
    <t xml:space="preserve">is_bulky</t>
  </si>
  <si>
    <t xml:space="preserve">is_fragile</t>
  </si>
  <si>
    <t xml:space="preserve">is_preset</t>
  </si>
  <si>
    <t xml:space="preserve">hint</t>
  </si>
  <si>
    <t xml:space="preserve">sort_order</t>
  </si>
  <si>
    <t xml:space="preserve">is_active</t>
  </si>
  <si>
    <t xml:space="preserve">Check: l x w x h</t>
  </si>
  <si>
    <t xml:space="preserve">Check: ratio</t>
  </si>
  <si>
    <t xml:space="preserve">food_tiffin</t>
  </si>
  <si>
    <t xml:space="preserve">Tiffin / lunch box</t>
  </si>
  <si>
    <t xml:space="preserve">food</t>
  </si>
  <si>
    <t xml:space="preserve">🍱</t>
  </si>
  <si>
    <t xml:space="preserve">false</t>
  </si>
  <si>
    <t xml:space="preserve">true</t>
  </si>
  <si>
    <t xml:space="preserve">Home food</t>
  </si>
  <si>
    <t xml:space="preserve">food_meal</t>
  </si>
  <si>
    <t xml:space="preserve">Packed meal</t>
  </si>
  <si>
    <t xml:space="preserve">🍛</t>
  </si>
  <si>
    <t xml:space="preserve">Restaurant order</t>
  </si>
  <si>
    <t xml:space="preserve">food_cake</t>
  </si>
  <si>
    <t xml:space="preserve">Cake</t>
  </si>
  <si>
    <t xml:space="preserve">🎂</t>
  </si>
  <si>
    <t xml:space="preserve">Boxed, keep flat</t>
  </si>
  <si>
    <t xml:space="preserve">food_sweets</t>
  </si>
  <si>
    <t xml:space="preserve">Sweets / mithai box</t>
  </si>
  <si>
    <t xml:space="preserve">🍬</t>
  </si>
  <si>
    <t xml:space="preserve">food_groceries</t>
  </si>
  <si>
    <t xml:space="preserve">Grocery bag</t>
  </si>
  <si>
    <t xml:space="preserve">🛍️</t>
  </si>
  <si>
    <t xml:space="preserve">food_vegetables</t>
  </si>
  <si>
    <t xml:space="preserve">Vegetables / fruit crate</t>
  </si>
  <si>
    <t xml:space="preserve">🥬</t>
  </si>
  <si>
    <t xml:space="preserve">food_water_can</t>
  </si>
  <si>
    <t xml:space="preserve">Water can</t>
  </si>
  <si>
    <t xml:space="preserve">💧</t>
  </si>
  <si>
    <t xml:space="preserve">20 litre</t>
  </si>
  <si>
    <t xml:space="preserve">food_milk_crate</t>
  </si>
  <si>
    <t xml:space="preserve">Milk / dairy crate</t>
  </si>
  <si>
    <t xml:space="preserve">🥛</t>
  </si>
  <si>
    <t xml:space="preserve">food_catering</t>
  </si>
  <si>
    <t xml:space="preserve">Catering vessel</t>
  </si>
  <si>
    <t xml:space="preserve">🍲</t>
  </si>
  <si>
    <t xml:space="preserve">Large degh</t>
  </si>
  <si>
    <t xml:space="preserve">small_documents</t>
  </si>
  <si>
    <t xml:space="preserve">Documents / envelope</t>
  </si>
  <si>
    <t xml:space="preserve">small_items</t>
  </si>
  <si>
    <t xml:space="preserve">📄</t>
  </si>
  <si>
    <t xml:space="preserve">small_keys</t>
  </si>
  <si>
    <t xml:space="preserve">Keys / small packet</t>
  </si>
  <si>
    <t xml:space="preserve">🔑</t>
  </si>
  <si>
    <t xml:space="preserve">small_medicines</t>
  </si>
  <si>
    <t xml:space="preserve">Medicines</t>
  </si>
  <si>
    <t xml:space="preserve">💊</t>
  </si>
  <si>
    <t xml:space="preserve">small_laptop</t>
  </si>
  <si>
    <t xml:space="preserve">Laptop / tablet</t>
  </si>
  <si>
    <t xml:space="preserve">💻</t>
  </si>
  <si>
    <t xml:space="preserve">small_mobile</t>
  </si>
  <si>
    <t xml:space="preserve">Mobile / gadget</t>
  </si>
  <si>
    <t xml:space="preserve">📱</t>
  </si>
  <si>
    <t xml:space="preserve">small_gift</t>
  </si>
  <si>
    <t xml:space="preserve">Gift / flowers</t>
  </si>
  <si>
    <t xml:space="preserve">🎁</t>
  </si>
  <si>
    <t xml:space="preserve">small_clothes</t>
  </si>
  <si>
    <t xml:space="preserve">Clothes packet</t>
  </si>
  <si>
    <t xml:space="preserve">👕</t>
  </si>
  <si>
    <t xml:space="preserve">small_book_parcel</t>
  </si>
  <si>
    <t xml:space="preserve">Books parcel</t>
  </si>
  <si>
    <t xml:space="preserve">📚</t>
  </si>
  <si>
    <t xml:space="preserve">small_spare_part</t>
  </si>
  <si>
    <t xml:space="preserve">Spare part / tool</t>
  </si>
  <si>
    <t xml:space="preserve">🔧</t>
  </si>
  <si>
    <t xml:space="preserve">small_carton</t>
  </si>
  <si>
    <t xml:space="preserve">Single carton</t>
  </si>
  <si>
    <t xml:space="preserve">📦</t>
  </si>
  <si>
    <t xml:space="preserve">Standard courier box</t>
  </si>
  <si>
    <t xml:space="preserve">sofa_3</t>
  </si>
  <si>
    <t xml:space="preserve">Sofa</t>
  </si>
  <si>
    <t xml:space="preserve">furniture</t>
  </si>
  <si>
    <t xml:space="preserve">🛋️</t>
  </si>
  <si>
    <t xml:space="preserve">3 seater</t>
  </si>
  <si>
    <t xml:space="preserve">sofa_2</t>
  </si>
  <si>
    <t xml:space="preserve">2 seater</t>
  </si>
  <si>
    <t xml:space="preserve">sofa_l</t>
  </si>
  <si>
    <t xml:space="preserve">L-shape sofa</t>
  </si>
  <si>
    <t xml:space="preserve">Corner set</t>
  </si>
  <si>
    <t xml:space="preserve">bed_double</t>
  </si>
  <si>
    <t xml:space="preserve">Double bed</t>
  </si>
  <si>
    <t xml:space="preserve">🛏️</t>
  </si>
  <si>
    <t xml:space="preserve">With headboard</t>
  </si>
  <si>
    <t xml:space="preserve">bed_single</t>
  </si>
  <si>
    <t xml:space="preserve">Single bed</t>
  </si>
  <si>
    <t xml:space="preserve">mattress</t>
  </si>
  <si>
    <t xml:space="preserve">Mattress</t>
  </si>
  <si>
    <t xml:space="preserve">🛌</t>
  </si>
  <si>
    <t xml:space="preserve">Queen / king</t>
  </si>
  <si>
    <t xml:space="preserve">wardrobe</t>
  </si>
  <si>
    <t xml:space="preserve">Wardrobe</t>
  </si>
  <si>
    <t xml:space="preserve">🚪</t>
  </si>
  <si>
    <t xml:space="preserve">2 door</t>
  </si>
  <si>
    <t xml:space="preserve">almirah</t>
  </si>
  <si>
    <t xml:space="preserve">Steel almirah</t>
  </si>
  <si>
    <t xml:space="preserve">🗄️</t>
  </si>
  <si>
    <t xml:space="preserve">dining_table</t>
  </si>
  <si>
    <t xml:space="preserve">Dining table</t>
  </si>
  <si>
    <t xml:space="preserve">🍽️</t>
  </si>
  <si>
    <t xml:space="preserve">Top only</t>
  </si>
  <si>
    <t xml:space="preserve">chair</t>
  </si>
  <si>
    <t xml:space="preserve">Chair</t>
  </si>
  <si>
    <t xml:space="preserve">🪑</t>
  </si>
  <si>
    <t xml:space="preserve">study_table</t>
  </si>
  <si>
    <t xml:space="preserve">Study table</t>
  </si>
  <si>
    <t xml:space="preserve">🖊️</t>
  </si>
  <si>
    <t xml:space="preserve">bookshelf</t>
  </si>
  <si>
    <t xml:space="preserve">Bookshelf</t>
  </si>
  <si>
    <t xml:space="preserve">shoe_rack</t>
  </si>
  <si>
    <t xml:space="preserve">Shoe rack</t>
  </si>
  <si>
    <t xml:space="preserve">👟</t>
  </si>
  <si>
    <t xml:space="preserve">center_table</t>
  </si>
  <si>
    <t xml:space="preserve">Center table</t>
  </si>
  <si>
    <t xml:space="preserve">🛎️</t>
  </si>
  <si>
    <t xml:space="preserve">tv_unit</t>
  </si>
  <si>
    <t xml:space="preserve">TV unit</t>
  </si>
  <si>
    <t xml:space="preserve">📺</t>
  </si>
  <si>
    <t xml:space="preserve">mirror</t>
  </si>
  <si>
    <t xml:space="preserve">Mirror / dressing table</t>
  </si>
  <si>
    <t xml:space="preserve">🪞</t>
  </si>
  <si>
    <t xml:space="preserve">fridge_double</t>
  </si>
  <si>
    <t xml:space="preserve">Refrigerator</t>
  </si>
  <si>
    <t xml:space="preserve">appliances</t>
  </si>
  <si>
    <t xml:space="preserve">🧊</t>
  </si>
  <si>
    <t xml:space="preserve">Double door</t>
  </si>
  <si>
    <t xml:space="preserve">fridge_single</t>
  </si>
  <si>
    <t xml:space="preserve">Single door</t>
  </si>
  <si>
    <t xml:space="preserve">washing_machine</t>
  </si>
  <si>
    <t xml:space="preserve">Washing machine</t>
  </si>
  <si>
    <t xml:space="preserve">🌀</t>
  </si>
  <si>
    <t xml:space="preserve">ac_split</t>
  </si>
  <si>
    <t xml:space="preserve">AC unit</t>
  </si>
  <si>
    <t xml:space="preserve">❄️</t>
  </si>
  <si>
    <t xml:space="preserve">Split, both units</t>
  </si>
  <si>
    <t xml:space="preserve">tv</t>
  </si>
  <si>
    <t xml:space="preserve">Television</t>
  </si>
  <si>
    <t xml:space="preserve">Boxed</t>
  </si>
  <si>
    <t xml:space="preserve">microwave</t>
  </si>
  <si>
    <t xml:space="preserve">Microwave / oven</t>
  </si>
  <si>
    <t xml:space="preserve">gas_stove</t>
  </si>
  <si>
    <t xml:space="preserve">Gas stove + cylinder</t>
  </si>
  <si>
    <t xml:space="preserve">🔥</t>
  </si>
  <si>
    <t xml:space="preserve">water_purifier</t>
  </si>
  <si>
    <t xml:space="preserve">Water purifier</t>
  </si>
  <si>
    <t xml:space="preserve">cooler</t>
  </si>
  <si>
    <t xml:space="preserve">Air cooler</t>
  </si>
  <si>
    <t xml:space="preserve">🌬️</t>
  </si>
  <si>
    <t xml:space="preserve">geyser</t>
  </si>
  <si>
    <t xml:space="preserve">Geyser</t>
  </si>
  <si>
    <t xml:space="preserve">♨️</t>
  </si>
  <si>
    <t xml:space="preserve">box_small</t>
  </si>
  <si>
    <t xml:space="preserve">Box</t>
  </si>
  <si>
    <t xml:space="preserve">boxes</t>
  </si>
  <si>
    <t xml:space="preserve">Small</t>
  </si>
  <si>
    <t xml:space="preserve">box_medium</t>
  </si>
  <si>
    <t xml:space="preserve">Medium</t>
  </si>
  <si>
    <t xml:space="preserve">box_large</t>
  </si>
  <si>
    <t xml:space="preserve">Large</t>
  </si>
  <si>
    <t xml:space="preserve">suitcase</t>
  </si>
  <si>
    <t xml:space="preserve">Suitcase</t>
  </si>
  <si>
    <t xml:space="preserve">🧳</t>
  </si>
  <si>
    <t xml:space="preserve">bag</t>
  </si>
  <si>
    <t xml:space="preserve">Bag / sack</t>
  </si>
  <si>
    <t xml:space="preserve">🎒</t>
  </si>
  <si>
    <t xml:space="preserve">trunk</t>
  </si>
  <si>
    <t xml:space="preserve">Trunk</t>
  </si>
  <si>
    <t xml:space="preserve">🧰</t>
  </si>
  <si>
    <t xml:space="preserve">plants</t>
  </si>
  <si>
    <t xml:space="preserve">Plant / pot</t>
  </si>
  <si>
    <t xml:space="preserve">🪴</t>
  </si>
  <si>
    <t xml:space="preserve">cycle</t>
  </si>
  <si>
    <t xml:space="preserve">Bicycle</t>
  </si>
  <si>
    <t xml:space="preserve">🚲</t>
  </si>
  <si>
    <t xml:space="preserve">home_1rk</t>
  </si>
  <si>
    <t xml:space="preserve">1 RK</t>
  </si>
  <si>
    <t xml:space="preserve">full_house</t>
  </si>
  <si>
    <t xml:space="preserve">🏠</t>
  </si>
  <si>
    <t xml:space="preserve">Studio / single room</t>
  </si>
  <si>
    <t xml:space="preserve">home_1bhk</t>
  </si>
  <si>
    <t xml:space="preserve">1 BHK</t>
  </si>
  <si>
    <t xml:space="preserve">Typical 1 bedroom</t>
  </si>
  <si>
    <t xml:space="preserve">home_2bhk</t>
  </si>
  <si>
    <t xml:space="preserve">2 BHK</t>
  </si>
  <si>
    <t xml:space="preserve">🏡</t>
  </si>
  <si>
    <t xml:space="preserve">Typical 2 bedroom</t>
  </si>
  <si>
    <t xml:space="preserve">home_3bhk</t>
  </si>
  <si>
    <t xml:space="preserve">3 BHK</t>
  </si>
  <si>
    <t xml:space="preserve">🏘️</t>
  </si>
  <si>
    <t xml:space="preserve">Typical 3 bedroom</t>
  </si>
  <si>
    <t xml:space="preserve">home_4bhk</t>
  </si>
  <si>
    <t xml:space="preserve">4 BHK / villa</t>
  </si>
  <si>
    <t xml:space="preserve">🏰</t>
  </si>
  <si>
    <t xml:space="preserve">Large home</t>
  </si>
  <si>
    <t xml:space="preserve">office_desk</t>
  </si>
  <si>
    <t xml:space="preserve">Office desk</t>
  </si>
  <si>
    <t xml:space="preserve">business</t>
  </si>
  <si>
    <t xml:space="preserve">🖥️</t>
  </si>
  <si>
    <t xml:space="preserve">office_chair</t>
  </si>
  <si>
    <t xml:space="preserve">Office chair</t>
  </si>
  <si>
    <t xml:space="preserve">💺</t>
  </si>
  <si>
    <t xml:space="preserve">filing_cabinet</t>
  </si>
  <si>
    <t xml:space="preserve">Filing cabinet</t>
  </si>
  <si>
    <t xml:space="preserve">🗃️</t>
  </si>
  <si>
    <t xml:space="preserve">computer</t>
  </si>
  <si>
    <t xml:space="preserve">Computer / monitor</t>
  </si>
  <si>
    <t xml:space="preserve">🖱️</t>
  </si>
  <si>
    <t xml:space="preserve">printer</t>
  </si>
  <si>
    <t xml:space="preserve">Printer</t>
  </si>
  <si>
    <t xml:space="preserve">🖨️</t>
  </si>
  <si>
    <t xml:space="preserve">server_rack</t>
  </si>
  <si>
    <t xml:space="preserve">Server rack</t>
  </si>
  <si>
    <t xml:space="preserve">display_rack</t>
  </si>
  <si>
    <t xml:space="preserve">Display rack</t>
  </si>
  <si>
    <t xml:space="preserve">🏪</t>
  </si>
  <si>
    <t xml:space="preserve">counter</t>
  </si>
  <si>
    <t xml:space="preserve">Counter table</t>
  </si>
  <si>
    <t xml:space="preserve">🧾</t>
  </si>
  <si>
    <t xml:space="preserve">stock_carton</t>
  </si>
  <si>
    <t xml:space="preserve">Stock carton</t>
  </si>
  <si>
    <t xml:space="preserve">sack</t>
  </si>
  <si>
    <t xml:space="preserve">Sack / gunny bag</t>
  </si>
  <si>
    <t xml:space="preserve">🧺</t>
  </si>
  <si>
    <t xml:space="preserve">drum</t>
  </si>
  <si>
    <t xml:space="preserve">Drum / barrel</t>
  </si>
  <si>
    <t xml:space="preserve">🛢️</t>
  </si>
  <si>
    <t xml:space="preserve">pallet</t>
  </si>
  <si>
    <t xml:space="preserve">Pallet</t>
  </si>
  <si>
    <t xml:space="preserve">🪵</t>
  </si>
  <si>
    <t xml:space="preserve">Vehicle capacity — new fields for GET /vehicles/types</t>
  </si>
  <si>
    <t xml:space="preserve">Fill in one row per vehicle in your fleet. capacity_cft is the single most valuable field:</t>
  </si>
  <si>
    <t xml:space="preserve">it removes every guess from the recommendation. If you can only add one, add that one.</t>
  </si>
  <si>
    <t xml:space="preserve">deck_height_ft is the height goods can be STACKED to, not the side-rail height — the app</t>
  </si>
  <si>
    <t xml:space="preserve">already discounts the deck box by 15% for the fact that nothing is packed to the very top.</t>
  </si>
  <si>
    <t xml:space="preserve">The amber row is an example (a Tata Ace with typical figures). Replace it with your fleet.</t>
  </si>
  <si>
    <t xml:space="preserve">vehicle_type_id</t>
  </si>
  <si>
    <t xml:space="preserve">max_capacity_kg</t>
  </si>
  <si>
    <t xml:space="preserve">capacity_cft</t>
  </si>
  <si>
    <t xml:space="preserve">deck_length_ft</t>
  </si>
  <si>
    <t xml:space="preserve">deck_width_ft</t>
  </si>
  <si>
    <t xml:space="preserve">deck_height_ft</t>
  </si>
  <si>
    <t xml:space="preserve">is_available</t>
  </si>
  <si>
    <t xml:space="preserve">Tata Ace</t>
  </si>
  <si>
    <t xml:space="preserve">^ example row — replace with your fleet</t>
  </si>
  <si>
    <t xml:space="preserve">Load size bands</t>
  </si>
  <si>
    <t xml:space="preserve">Reference only. These live in the app (LoadSize) and are stored on each booking as load_size.</t>
  </si>
  <si>
    <t xml:space="preserve">The band is a NAME only. The line shown under it in the app — 'Fits in a Tata Ace' — is</t>
  </si>
  <si>
    <t xml:space="preserve">generated from the vehicle actually recommended, not from this table.</t>
  </si>
  <si>
    <t xml:space="preserve">That matters: the bands are fixed cubic-foot ranges, but which vehicle a range needs depends</t>
  </si>
  <si>
    <t xml:space="preserve">entirely on YOUR fleet. An earlier version hardcoded 'Fits on a bike or scooter' onto the</t>
  </si>
  <si>
    <t xml:space="preserve">SMALL band; on a fleet with no bike that sentence appeared directly above a card recommending</t>
  </si>
  <si>
    <t xml:space="preserve">an auto.</t>
  </si>
  <si>
    <t xml:space="preserve">value stored</t>
  </si>
  <si>
    <t xml:space="preserve">shown to customer</t>
  </si>
  <si>
    <t xml:space="preserve">packed cu.ft</t>
  </si>
  <si>
    <t xml:space="preserve">SMALL</t>
  </si>
  <si>
    <t xml:space="preserve">Small load</t>
  </si>
  <si>
    <t xml:space="preserve">up to 8</t>
  </si>
  <si>
    <t xml:space="preserve">MEDIUM</t>
  </si>
  <si>
    <t xml:space="preserve">Medium load</t>
  </si>
  <si>
    <t xml:space="preserve">8 – 45</t>
  </si>
  <si>
    <t xml:space="preserve">LARGE</t>
  </si>
  <si>
    <t xml:space="preserve">Large load</t>
  </si>
  <si>
    <t xml:space="preserve">45 – 120</t>
  </si>
  <si>
    <t xml:space="preserve">VERY_LARGE</t>
  </si>
  <si>
    <t xml:space="preserve">Very large load</t>
  </si>
  <si>
    <t xml:space="preserve">120 – 300</t>
  </si>
  <si>
    <t xml:space="preserve">EXTRA_LARGE</t>
  </si>
  <si>
    <t xml:space="preserve">Extra large load</t>
  </si>
  <si>
    <t xml:space="preserve">above 300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</si>
</sst>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5245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524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i val="true"/>
      <sz val="9"/>
      <color rgb="FFB4530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5245F"/>
        <bgColor rgb="FF003366"/>
      </patternFill>
    </fill>
    <fill>
      <patternFill patternType="solid">
        <fgColor rgb="FFFEF3C7"/>
        <bgColor rgb="FFFE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B91C1C"/>
        <sz val="10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45309"/>
      <rgbColor rgb="FFFEF3C7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91C1C"/>
      <rgbColor rgb="FF993366"/>
      <rgbColor rgb="FF333399"/>
      <rgbColor rgb="FF25245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4"/>
  </cols>
  <sheetData>
    <row r="2" customFormat="false" ht="17.25" hidden="false" customHeight="true" outlineLevel="0" collapsed="false">
      <c r="B2" s="2" t="s">
        <v>0</v>
      </c>
    </row>
    <row r="3" customFormat="false" ht="15" hidden="false" customHeight="true" outlineLevel="0" collapsed="false">
      <c r="B3" s="3"/>
    </row>
    <row r="4" customFormat="false" ht="15" hidden="false" customHeight="true" outlineLevel="0" collapsed="false">
      <c r="B4" s="3" t="s">
        <v>1</v>
      </c>
    </row>
    <row r="5" customFormat="false" ht="15" hidden="false" customHeight="true" outlineLevel="0" collapsed="false">
      <c r="B5" s="3"/>
    </row>
    <row r="6" customFormat="false" ht="15" hidden="false" customHeight="true" outlineLevel="0" collapsed="false">
      <c r="B6" s="4" t="s">
        <v>2</v>
      </c>
    </row>
    <row r="7" customFormat="false" ht="15" hidden="false" customHeight="true" outlineLevel="0" collapsed="false">
      <c r="B7" s="3" t="s">
        <v>3</v>
      </c>
    </row>
    <row r="8" customFormat="false" ht="15" hidden="false" customHeight="true" outlineLevel="0" collapsed="false">
      <c r="B8" s="3" t="s">
        <v>4</v>
      </c>
    </row>
    <row r="9" customFormat="false" ht="15" hidden="false" customHeight="true" outlineLevel="0" collapsed="false">
      <c r="B9" s="3" t="s">
        <v>5</v>
      </c>
    </row>
    <row r="10" customFormat="false" ht="15" hidden="false" customHeight="true" outlineLevel="0" collapsed="false">
      <c r="B10" s="3" t="s">
        <v>6</v>
      </c>
    </row>
    <row r="11" customFormat="false" ht="15" hidden="false" customHeight="true" outlineLevel="0" collapsed="false">
      <c r="B11" s="3"/>
    </row>
    <row r="12" customFormat="false" ht="15" hidden="false" customHeight="true" outlineLevel="0" collapsed="false">
      <c r="B12" s="4" t="s">
        <v>7</v>
      </c>
    </row>
    <row r="13" customFormat="false" ht="15" hidden="false" customHeight="true" outlineLevel="0" collapsed="false">
      <c r="B13" s="3" t="s">
        <v>8</v>
      </c>
    </row>
    <row r="14" customFormat="false" ht="15" hidden="false" customHeight="true" outlineLevel="0" collapsed="false">
      <c r="B14" s="3" t="s">
        <v>9</v>
      </c>
    </row>
    <row r="15" customFormat="false" ht="15" hidden="false" customHeight="true" outlineLevel="0" collapsed="false">
      <c r="B15" s="3" t="s">
        <v>10</v>
      </c>
    </row>
    <row r="16" customFormat="false" ht="15" hidden="false" customHeight="true" outlineLevel="0" collapsed="false">
      <c r="B16" s="3" t="s">
        <v>11</v>
      </c>
    </row>
    <row r="17" customFormat="false" ht="15" hidden="false" customHeight="true" outlineLevel="0" collapsed="false">
      <c r="B17" s="3"/>
    </row>
    <row r="18" customFormat="false" ht="15" hidden="false" customHeight="true" outlineLevel="0" collapsed="false">
      <c r="B18" s="4" t="s">
        <v>12</v>
      </c>
    </row>
    <row r="19" customFormat="false" ht="15" hidden="false" customHeight="true" outlineLevel="0" collapsed="false">
      <c r="B19" s="3" t="s">
        <v>13</v>
      </c>
    </row>
    <row r="20" customFormat="false" ht="15" hidden="false" customHeight="true" outlineLevel="0" collapsed="false">
      <c r="B20" s="3" t="s">
        <v>14</v>
      </c>
    </row>
    <row r="21" customFormat="false" ht="15" hidden="false" customHeight="true" outlineLevel="0" collapsed="false">
      <c r="B21" s="3" t="s">
        <v>15</v>
      </c>
    </row>
    <row r="22" customFormat="false" ht="15" hidden="false" customHeight="true" outlineLevel="0" collapsed="false">
      <c r="B22" s="3" t="s">
        <v>16</v>
      </c>
    </row>
    <row r="23" customFormat="false" ht="15" hidden="false" customHeight="true" outlineLevel="0" collapsed="false">
      <c r="B23" s="3" t="s">
        <v>17</v>
      </c>
    </row>
    <row r="24" customFormat="false" ht="15" hidden="false" customHeight="true" outlineLevel="0" collapsed="false">
      <c r="B24" s="3" t="s">
        <v>18</v>
      </c>
    </row>
    <row r="25" customFormat="false" ht="15" hidden="false" customHeight="true" outlineLevel="0" collapsed="false">
      <c r="B25" s="3"/>
    </row>
    <row r="26" customFormat="false" ht="15" hidden="false" customHeight="true" outlineLevel="0" collapsed="false">
      <c r="B26" s="4" t="s">
        <v>19</v>
      </c>
    </row>
    <row r="27" customFormat="false" ht="15" hidden="false" customHeight="true" outlineLevel="0" collapsed="false">
      <c r="B27" s="3" t="s">
        <v>20</v>
      </c>
    </row>
    <row r="28" customFormat="false" ht="15" hidden="false" customHeight="true" outlineLevel="0" collapsed="false">
      <c r="B28" s="3" t="s">
        <v>21</v>
      </c>
    </row>
    <row r="29" customFormat="false" ht="15" hidden="false" customHeight="true" outlineLevel="0" collapsed="false">
      <c r="B29" s="3"/>
    </row>
    <row r="30" customFormat="false" ht="15" hidden="false" customHeight="true" outlineLevel="0" collapsed="false">
      <c r="B30" s="4" t="s">
        <v>22</v>
      </c>
    </row>
    <row r="31" customFormat="false" ht="15" hidden="false" customHeight="true" outlineLevel="0" collapsed="false">
      <c r="B31" s="3" t="s">
        <v>23</v>
      </c>
    </row>
    <row r="32" customFormat="false" ht="15" hidden="false" customHeight="true" outlineLevel="0" collapsed="false">
      <c r="B32" s="3" t="s">
        <v>24</v>
      </c>
    </row>
    <row r="33" customFormat="false" ht="15" hidden="false" customHeight="true" outlineLevel="0" collapsed="false">
      <c r="B33" s="3" t="s">
        <v>25</v>
      </c>
    </row>
    <row r="34" customFormat="false" ht="15" hidden="false" customHeight="true" outlineLevel="0" collapsed="false">
      <c r="B34" s="3"/>
    </row>
    <row r="35" customFormat="false" ht="15" hidden="false" customHeight="true" outlineLevel="0" collapsed="false">
      <c r="B35" s="4" t="s">
        <v>26</v>
      </c>
    </row>
    <row r="36" customFormat="false" ht="15" hidden="false" customHeight="true" outlineLevel="0" collapsed="false">
      <c r="B36" s="3" t="s">
        <v>27</v>
      </c>
    </row>
    <row r="37" customFormat="false" ht="15" hidden="false" customHeight="true" outlineLevel="0" collapsed="false">
      <c r="B37" s="3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7"/>
    <col collapsed="false" customWidth="true" hidden="false" outlineLevel="0" max="6" min="5" style="1" width="11"/>
    <col collapsed="false" customWidth="true" hidden="false" outlineLevel="0" max="12" min="7" style="1" width="10"/>
    <col collapsed="false" customWidth="true" hidden="false" outlineLevel="0" max="13" min="13" style="1" width="24"/>
    <col collapsed="false" customWidth="true" hidden="false" outlineLevel="0" max="14" min="14" style="1" width="11"/>
    <col collapsed="false" customWidth="true" hidden="false" outlineLevel="0" max="15" min="15" style="1" width="10"/>
    <col collapsed="false" customWidth="true" hidden="false" outlineLevel="0" max="16" min="16" style="1" width="16"/>
    <col collapsed="false" customWidth="true" hidden="false" outlineLevel="0" max="17" min="17" style="1" width="13"/>
  </cols>
  <sheetData>
    <row r="1" customFormat="false" ht="15" hidden="false" customHeight="true" outlineLevel="0" collapsed="false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  <c r="F1" s="5" t="s">
        <v>34</v>
      </c>
      <c r="G1" s="5" t="s">
        <v>35</v>
      </c>
      <c r="H1" s="5" t="s">
        <v>36</v>
      </c>
      <c r="I1" s="5" t="s">
        <v>37</v>
      </c>
      <c r="J1" s="5" t="s">
        <v>38</v>
      </c>
      <c r="K1" s="5" t="s">
        <v>39</v>
      </c>
      <c r="L1" s="5" t="s">
        <v>40</v>
      </c>
      <c r="M1" s="5" t="s">
        <v>41</v>
      </c>
      <c r="N1" s="5" t="s">
        <v>42</v>
      </c>
      <c r="O1" s="5" t="s">
        <v>43</v>
      </c>
      <c r="P1" s="5" t="s">
        <v>44</v>
      </c>
      <c r="Q1" s="5" t="s">
        <v>45</v>
      </c>
    </row>
    <row r="2" customFormat="false" ht="15" hidden="false" customHeight="true" outlineLevel="0" collapsed="false">
      <c r="A2" s="6" t="s">
        <v>46</v>
      </c>
      <c r="B2" s="6" t="s">
        <v>47</v>
      </c>
      <c r="C2" s="7" t="s">
        <v>48</v>
      </c>
      <c r="D2" s="7" t="s">
        <v>49</v>
      </c>
      <c r="E2" s="8" t="n">
        <v>0.4</v>
      </c>
      <c r="F2" s="8" t="n">
        <v>1.5</v>
      </c>
      <c r="G2" s="8" t="n">
        <v>1</v>
      </c>
      <c r="H2" s="8" t="n">
        <v>0.8</v>
      </c>
      <c r="I2" s="8" t="n">
        <v>0.8</v>
      </c>
      <c r="J2" s="7" t="s">
        <v>50</v>
      </c>
      <c r="K2" s="7" t="s">
        <v>51</v>
      </c>
      <c r="L2" s="7" t="s">
        <v>50</v>
      </c>
      <c r="M2" s="6" t="s">
        <v>52</v>
      </c>
      <c r="N2" s="6" t="n">
        <v>1</v>
      </c>
      <c r="O2" s="7" t="s">
        <v>51</v>
      </c>
      <c r="P2" s="9" t="n">
        <f aca="false">IF(COUNT(G2:I2)&lt;3,"",G2*H2*I2)</f>
        <v>0.64</v>
      </c>
      <c r="Q2" s="10" t="str">
        <f aca="false">IF(OR(P2="",P2&lt;=3),"",E2/P2)</f>
        <v/>
      </c>
    </row>
    <row r="3" customFormat="false" ht="15" hidden="false" customHeight="true" outlineLevel="0" collapsed="false">
      <c r="A3" s="6" t="s">
        <v>53</v>
      </c>
      <c r="B3" s="6" t="s">
        <v>54</v>
      </c>
      <c r="C3" s="7" t="s">
        <v>48</v>
      </c>
      <c r="D3" s="7" t="s">
        <v>55</v>
      </c>
      <c r="E3" s="8" t="n">
        <v>0.3</v>
      </c>
      <c r="F3" s="8" t="n">
        <v>1</v>
      </c>
      <c r="G3" s="8" t="n">
        <v>1</v>
      </c>
      <c r="H3" s="8" t="n">
        <v>0.8</v>
      </c>
      <c r="I3" s="8" t="n">
        <v>0.5</v>
      </c>
      <c r="J3" s="7" t="s">
        <v>50</v>
      </c>
      <c r="K3" s="7" t="s">
        <v>51</v>
      </c>
      <c r="L3" s="7" t="s">
        <v>50</v>
      </c>
      <c r="M3" s="6" t="s">
        <v>56</v>
      </c>
      <c r="N3" s="6" t="n">
        <v>2</v>
      </c>
      <c r="O3" s="7" t="s">
        <v>51</v>
      </c>
      <c r="P3" s="9" t="n">
        <f aca="false">IF(COUNT(G3:I3)&lt;3,"",G3*H3*I3)</f>
        <v>0.4</v>
      </c>
      <c r="Q3" s="10" t="str">
        <f aca="false">IF(OR(P3="",P3&lt;=3),"",E3/P3)</f>
        <v/>
      </c>
    </row>
    <row r="4" customFormat="false" ht="15" hidden="false" customHeight="true" outlineLevel="0" collapsed="false">
      <c r="A4" s="6" t="s">
        <v>57</v>
      </c>
      <c r="B4" s="6" t="s">
        <v>58</v>
      </c>
      <c r="C4" s="7" t="s">
        <v>48</v>
      </c>
      <c r="D4" s="7" t="s">
        <v>59</v>
      </c>
      <c r="E4" s="8" t="n">
        <v>1.2</v>
      </c>
      <c r="F4" s="8" t="n">
        <v>2</v>
      </c>
      <c r="G4" s="8" t="n">
        <v>1</v>
      </c>
      <c r="H4" s="8" t="n">
        <v>1</v>
      </c>
      <c r="I4" s="8" t="n">
        <v>1</v>
      </c>
      <c r="J4" s="7" t="s">
        <v>50</v>
      </c>
      <c r="K4" s="7" t="s">
        <v>51</v>
      </c>
      <c r="L4" s="7" t="s">
        <v>50</v>
      </c>
      <c r="M4" s="6" t="s">
        <v>60</v>
      </c>
      <c r="N4" s="6" t="n">
        <v>3</v>
      </c>
      <c r="O4" s="7" t="s">
        <v>51</v>
      </c>
      <c r="P4" s="9" t="n">
        <f aca="false">IF(COUNT(G4:I4)&lt;3,"",G4*H4*I4)</f>
        <v>1</v>
      </c>
      <c r="Q4" s="10" t="str">
        <f aca="false">IF(OR(P4="",P4&lt;=3),"",E4/P4)</f>
        <v/>
      </c>
    </row>
    <row r="5" customFormat="false" ht="15" hidden="false" customHeight="true" outlineLevel="0" collapsed="false">
      <c r="A5" s="6" t="s">
        <v>61</v>
      </c>
      <c r="B5" s="6" t="s">
        <v>62</v>
      </c>
      <c r="C5" s="7" t="s">
        <v>48</v>
      </c>
      <c r="D5" s="7" t="s">
        <v>63</v>
      </c>
      <c r="E5" s="8" t="n">
        <v>0.6</v>
      </c>
      <c r="F5" s="8" t="n">
        <v>2</v>
      </c>
      <c r="G5" s="8" t="n">
        <v>1</v>
      </c>
      <c r="H5" s="8" t="n">
        <v>1</v>
      </c>
      <c r="I5" s="8" t="n">
        <v>0.5</v>
      </c>
      <c r="J5" s="7" t="s">
        <v>50</v>
      </c>
      <c r="K5" s="7" t="s">
        <v>51</v>
      </c>
      <c r="L5" s="7" t="s">
        <v>50</v>
      </c>
      <c r="M5" s="6"/>
      <c r="N5" s="6" t="n">
        <v>4</v>
      </c>
      <c r="O5" s="7" t="s">
        <v>51</v>
      </c>
      <c r="P5" s="9" t="n">
        <f aca="false">IF(COUNT(G5:I5)&lt;3,"",G5*H5*I5)</f>
        <v>0.5</v>
      </c>
      <c r="Q5" s="10" t="str">
        <f aca="false">IF(OR(P5="",P5&lt;=3),"",E5/P5)</f>
        <v/>
      </c>
    </row>
    <row r="6" customFormat="false" ht="15" hidden="false" customHeight="true" outlineLevel="0" collapsed="false">
      <c r="A6" s="6" t="s">
        <v>64</v>
      </c>
      <c r="B6" s="6" t="s">
        <v>65</v>
      </c>
      <c r="C6" s="7" t="s">
        <v>48</v>
      </c>
      <c r="D6" s="7" t="s">
        <v>66</v>
      </c>
      <c r="E6" s="8" t="n">
        <v>1.5</v>
      </c>
      <c r="F6" s="8" t="n">
        <v>8</v>
      </c>
      <c r="G6" s="8" t="n">
        <v>1.2</v>
      </c>
      <c r="H6" s="8" t="n">
        <v>1</v>
      </c>
      <c r="I6" s="8" t="n">
        <v>1.2</v>
      </c>
      <c r="J6" s="7" t="s">
        <v>50</v>
      </c>
      <c r="K6" s="7" t="s">
        <v>50</v>
      </c>
      <c r="L6" s="7" t="s">
        <v>50</v>
      </c>
      <c r="M6" s="6"/>
      <c r="N6" s="6" t="n">
        <v>5</v>
      </c>
      <c r="O6" s="7" t="s">
        <v>51</v>
      </c>
      <c r="P6" s="9" t="n">
        <f aca="false">IF(COUNT(G6:I6)&lt;3,"",G6*H6*I6)</f>
        <v>1.44</v>
      </c>
      <c r="Q6" s="10" t="str">
        <f aca="false">IF(OR(P6="",P6&lt;=3),"",E6/P6)</f>
        <v/>
      </c>
    </row>
    <row r="7" customFormat="false" ht="15" hidden="false" customHeight="true" outlineLevel="0" collapsed="false">
      <c r="A7" s="6" t="s">
        <v>67</v>
      </c>
      <c r="B7" s="6" t="s">
        <v>68</v>
      </c>
      <c r="C7" s="7" t="s">
        <v>48</v>
      </c>
      <c r="D7" s="7" t="s">
        <v>69</v>
      </c>
      <c r="E7" s="8" t="n">
        <v>3</v>
      </c>
      <c r="F7" s="8" t="n">
        <v>15</v>
      </c>
      <c r="G7" s="8" t="n">
        <v>2</v>
      </c>
      <c r="H7" s="8" t="n">
        <v>1.3</v>
      </c>
      <c r="I7" s="8" t="n">
        <v>1</v>
      </c>
      <c r="J7" s="7" t="s">
        <v>50</v>
      </c>
      <c r="K7" s="7" t="s">
        <v>50</v>
      </c>
      <c r="L7" s="7" t="s">
        <v>50</v>
      </c>
      <c r="M7" s="6"/>
      <c r="N7" s="6" t="n">
        <v>6</v>
      </c>
      <c r="O7" s="7" t="s">
        <v>51</v>
      </c>
      <c r="P7" s="9" t="n">
        <f aca="false">IF(COUNT(G7:I7)&lt;3,"",G7*H7*I7)</f>
        <v>2.6</v>
      </c>
      <c r="Q7" s="10" t="str">
        <f aca="false">IF(OR(P7="",P7&lt;=3),"",E7/P7)</f>
        <v/>
      </c>
    </row>
    <row r="8" customFormat="false" ht="15" hidden="false" customHeight="true" outlineLevel="0" collapsed="false">
      <c r="A8" s="6" t="s">
        <v>70</v>
      </c>
      <c r="B8" s="6" t="s">
        <v>71</v>
      </c>
      <c r="C8" s="7" t="s">
        <v>48</v>
      </c>
      <c r="D8" s="7" t="s">
        <v>72</v>
      </c>
      <c r="E8" s="8" t="n">
        <v>1.5</v>
      </c>
      <c r="F8" s="8" t="n">
        <v>20</v>
      </c>
      <c r="G8" s="8" t="n">
        <v>1</v>
      </c>
      <c r="H8" s="8" t="n">
        <v>1</v>
      </c>
      <c r="I8" s="8" t="n">
        <v>1.5</v>
      </c>
      <c r="J8" s="7" t="s">
        <v>50</v>
      </c>
      <c r="K8" s="7" t="s">
        <v>50</v>
      </c>
      <c r="L8" s="7" t="s">
        <v>50</v>
      </c>
      <c r="M8" s="6" t="s">
        <v>73</v>
      </c>
      <c r="N8" s="6" t="n">
        <v>7</v>
      </c>
      <c r="O8" s="7" t="s">
        <v>51</v>
      </c>
      <c r="P8" s="9" t="n">
        <f aca="false">IF(COUNT(G8:I8)&lt;3,"",G8*H8*I8)</f>
        <v>1.5</v>
      </c>
      <c r="Q8" s="10" t="str">
        <f aca="false">IF(OR(P8="",P8&lt;=3),"",E8/P8)</f>
        <v/>
      </c>
    </row>
    <row r="9" customFormat="false" ht="15" hidden="false" customHeight="true" outlineLevel="0" collapsed="false">
      <c r="A9" s="6" t="s">
        <v>74</v>
      </c>
      <c r="B9" s="6" t="s">
        <v>75</v>
      </c>
      <c r="C9" s="7" t="s">
        <v>48</v>
      </c>
      <c r="D9" s="7" t="s">
        <v>76</v>
      </c>
      <c r="E9" s="8" t="n">
        <v>2</v>
      </c>
      <c r="F9" s="8" t="n">
        <v>18</v>
      </c>
      <c r="G9" s="8" t="n">
        <v>1.7</v>
      </c>
      <c r="H9" s="8" t="n">
        <v>1.2</v>
      </c>
      <c r="I9" s="8" t="n">
        <v>1</v>
      </c>
      <c r="J9" s="7" t="s">
        <v>50</v>
      </c>
      <c r="K9" s="7" t="s">
        <v>51</v>
      </c>
      <c r="L9" s="7" t="s">
        <v>50</v>
      </c>
      <c r="M9" s="6"/>
      <c r="N9" s="6" t="n">
        <v>8</v>
      </c>
      <c r="O9" s="7" t="s">
        <v>51</v>
      </c>
      <c r="P9" s="9" t="n">
        <f aca="false">IF(COUNT(G9:I9)&lt;3,"",G9*H9*I9)</f>
        <v>2.04</v>
      </c>
      <c r="Q9" s="10" t="str">
        <f aca="false">IF(OR(P9="",P9&lt;=3),"",E9/P9)</f>
        <v/>
      </c>
    </row>
    <row r="10" customFormat="false" ht="15" hidden="false" customHeight="true" outlineLevel="0" collapsed="false">
      <c r="A10" s="6" t="s">
        <v>77</v>
      </c>
      <c r="B10" s="6" t="s">
        <v>78</v>
      </c>
      <c r="C10" s="7" t="s">
        <v>48</v>
      </c>
      <c r="D10" s="7" t="s">
        <v>79</v>
      </c>
      <c r="E10" s="8" t="n">
        <v>6</v>
      </c>
      <c r="F10" s="8" t="n">
        <v>25</v>
      </c>
      <c r="G10" s="8" t="n">
        <v>2</v>
      </c>
      <c r="H10" s="8" t="n">
        <v>2</v>
      </c>
      <c r="I10" s="8" t="n">
        <v>1.5</v>
      </c>
      <c r="J10" s="7" t="s">
        <v>50</v>
      </c>
      <c r="K10" s="7" t="s">
        <v>51</v>
      </c>
      <c r="L10" s="7" t="s">
        <v>50</v>
      </c>
      <c r="M10" s="6" t="s">
        <v>80</v>
      </c>
      <c r="N10" s="6" t="n">
        <v>9</v>
      </c>
      <c r="O10" s="7" t="s">
        <v>51</v>
      </c>
      <c r="P10" s="9" t="n">
        <f aca="false">IF(COUNT(G10:I10)&lt;3,"",G10*H10*I10)</f>
        <v>6</v>
      </c>
      <c r="Q10" s="10" t="n">
        <f aca="false">IF(OR(P10="",P10&lt;=3),"",E10/P10)</f>
        <v>1</v>
      </c>
    </row>
    <row r="11" customFormat="false" ht="15" hidden="false" customHeight="true" outlineLevel="0" collapsed="false">
      <c r="A11" s="6" t="s">
        <v>81</v>
      </c>
      <c r="B11" s="6" t="s">
        <v>82</v>
      </c>
      <c r="C11" s="7" t="s">
        <v>83</v>
      </c>
      <c r="D11" s="7" t="s">
        <v>84</v>
      </c>
      <c r="E11" s="8" t="n">
        <v>0.2</v>
      </c>
      <c r="F11" s="8" t="n">
        <v>0.5</v>
      </c>
      <c r="G11" s="8" t="n">
        <v>1.2</v>
      </c>
      <c r="H11" s="8" t="n">
        <v>0.9</v>
      </c>
      <c r="I11" s="8" t="n">
        <v>0.2</v>
      </c>
      <c r="J11" s="7" t="s">
        <v>50</v>
      </c>
      <c r="K11" s="7" t="s">
        <v>50</v>
      </c>
      <c r="L11" s="7" t="s">
        <v>50</v>
      </c>
      <c r="M11" s="6"/>
      <c r="N11" s="6" t="n">
        <v>10</v>
      </c>
      <c r="O11" s="7" t="s">
        <v>51</v>
      </c>
      <c r="P11" s="9" t="n">
        <f aca="false">IF(COUNT(G11:I11)&lt;3,"",G11*H11*I11)</f>
        <v>0.216</v>
      </c>
      <c r="Q11" s="10" t="str">
        <f aca="false">IF(OR(P11="",P11&lt;=3),"",E11/P11)</f>
        <v/>
      </c>
    </row>
    <row r="12" customFormat="false" ht="15" hidden="false" customHeight="true" outlineLevel="0" collapsed="false">
      <c r="A12" s="6" t="s">
        <v>85</v>
      </c>
      <c r="B12" s="6" t="s">
        <v>86</v>
      </c>
      <c r="C12" s="7" t="s">
        <v>83</v>
      </c>
      <c r="D12" s="7" t="s">
        <v>87</v>
      </c>
      <c r="E12" s="8" t="n">
        <v>0.1</v>
      </c>
      <c r="F12" s="8" t="n">
        <v>0.3</v>
      </c>
      <c r="G12" s="8" t="n">
        <v>0.5</v>
      </c>
      <c r="H12" s="8" t="n">
        <v>0.4</v>
      </c>
      <c r="I12" s="8" t="n">
        <v>0.3</v>
      </c>
      <c r="J12" s="7" t="s">
        <v>50</v>
      </c>
      <c r="K12" s="7" t="s">
        <v>50</v>
      </c>
      <c r="L12" s="7" t="s">
        <v>50</v>
      </c>
      <c r="M12" s="6"/>
      <c r="N12" s="6" t="n">
        <v>11</v>
      </c>
      <c r="O12" s="7" t="s">
        <v>51</v>
      </c>
      <c r="P12" s="9" t="n">
        <f aca="false">IF(COUNT(G12:I12)&lt;3,"",G12*H12*I12)</f>
        <v>0.06</v>
      </c>
      <c r="Q12" s="10" t="str">
        <f aca="false">IF(OR(P12="",P12&lt;=3),"",E12/P12)</f>
        <v/>
      </c>
    </row>
    <row r="13" customFormat="false" ht="15" hidden="false" customHeight="true" outlineLevel="0" collapsed="false">
      <c r="A13" s="6" t="s">
        <v>88</v>
      </c>
      <c r="B13" s="6" t="s">
        <v>89</v>
      </c>
      <c r="C13" s="7" t="s">
        <v>83</v>
      </c>
      <c r="D13" s="7" t="s">
        <v>90</v>
      </c>
      <c r="E13" s="8" t="n">
        <v>0.4</v>
      </c>
      <c r="F13" s="8" t="n">
        <v>1</v>
      </c>
      <c r="G13" s="8" t="n">
        <v>1</v>
      </c>
      <c r="H13" s="8" t="n">
        <v>0.8</v>
      </c>
      <c r="I13" s="8" t="n">
        <v>0.5</v>
      </c>
      <c r="J13" s="7" t="s">
        <v>50</v>
      </c>
      <c r="K13" s="7" t="s">
        <v>51</v>
      </c>
      <c r="L13" s="7" t="s">
        <v>50</v>
      </c>
      <c r="M13" s="6"/>
      <c r="N13" s="6" t="n">
        <v>12</v>
      </c>
      <c r="O13" s="7" t="s">
        <v>51</v>
      </c>
      <c r="P13" s="9" t="n">
        <f aca="false">IF(COUNT(G13:I13)&lt;3,"",G13*H13*I13)</f>
        <v>0.4</v>
      </c>
      <c r="Q13" s="10" t="str">
        <f aca="false">IF(OR(P13="",P13&lt;=3),"",E13/P13)</f>
        <v/>
      </c>
    </row>
    <row r="14" customFormat="false" ht="15" hidden="false" customHeight="true" outlineLevel="0" collapsed="false">
      <c r="A14" s="6" t="s">
        <v>91</v>
      </c>
      <c r="B14" s="6" t="s">
        <v>92</v>
      </c>
      <c r="C14" s="7" t="s">
        <v>83</v>
      </c>
      <c r="D14" s="7" t="s">
        <v>93</v>
      </c>
      <c r="E14" s="8" t="n">
        <v>0.8</v>
      </c>
      <c r="F14" s="8" t="n">
        <v>3</v>
      </c>
      <c r="G14" s="8" t="n">
        <v>1.3</v>
      </c>
      <c r="H14" s="8" t="n">
        <v>1</v>
      </c>
      <c r="I14" s="8" t="n">
        <v>0.4</v>
      </c>
      <c r="J14" s="7" t="s">
        <v>50</v>
      </c>
      <c r="K14" s="7" t="s">
        <v>51</v>
      </c>
      <c r="L14" s="7" t="s">
        <v>50</v>
      </c>
      <c r="M14" s="6"/>
      <c r="N14" s="6" t="n">
        <v>13</v>
      </c>
      <c r="O14" s="7" t="s">
        <v>51</v>
      </c>
      <c r="P14" s="9" t="n">
        <f aca="false">IF(COUNT(G14:I14)&lt;3,"",G14*H14*I14)</f>
        <v>0.52</v>
      </c>
      <c r="Q14" s="10" t="str">
        <f aca="false">IF(OR(P14="",P14&lt;=3),"",E14/P14)</f>
        <v/>
      </c>
    </row>
    <row r="15" customFormat="false" ht="15" hidden="false" customHeight="true" outlineLevel="0" collapsed="false">
      <c r="A15" s="6" t="s">
        <v>94</v>
      </c>
      <c r="B15" s="6" t="s">
        <v>95</v>
      </c>
      <c r="C15" s="7" t="s">
        <v>83</v>
      </c>
      <c r="D15" s="7" t="s">
        <v>96</v>
      </c>
      <c r="E15" s="8" t="n">
        <v>0.2</v>
      </c>
      <c r="F15" s="8" t="n">
        <v>0.5</v>
      </c>
      <c r="G15" s="8" t="n">
        <v>0.7</v>
      </c>
      <c r="H15" s="8" t="n">
        <v>0.5</v>
      </c>
      <c r="I15" s="8" t="n">
        <v>0.3</v>
      </c>
      <c r="J15" s="7" t="s">
        <v>50</v>
      </c>
      <c r="K15" s="7" t="s">
        <v>51</v>
      </c>
      <c r="L15" s="7" t="s">
        <v>50</v>
      </c>
      <c r="M15" s="6"/>
      <c r="N15" s="6" t="n">
        <v>14</v>
      </c>
      <c r="O15" s="7" t="s">
        <v>51</v>
      </c>
      <c r="P15" s="9" t="n">
        <f aca="false">IF(COUNT(G15:I15)&lt;3,"",G15*H15*I15)</f>
        <v>0.105</v>
      </c>
      <c r="Q15" s="10" t="str">
        <f aca="false">IF(OR(P15="",P15&lt;=3),"",E15/P15)</f>
        <v/>
      </c>
    </row>
    <row r="16" customFormat="false" ht="15" hidden="false" customHeight="true" outlineLevel="0" collapsed="false">
      <c r="A16" s="6" t="s">
        <v>97</v>
      </c>
      <c r="B16" s="6" t="s">
        <v>98</v>
      </c>
      <c r="C16" s="7" t="s">
        <v>83</v>
      </c>
      <c r="D16" s="7" t="s">
        <v>99</v>
      </c>
      <c r="E16" s="8" t="n">
        <v>1.5</v>
      </c>
      <c r="F16" s="8" t="n">
        <v>3</v>
      </c>
      <c r="G16" s="8" t="n">
        <v>1.3</v>
      </c>
      <c r="H16" s="8" t="n">
        <v>1</v>
      </c>
      <c r="I16" s="8" t="n">
        <v>1.3</v>
      </c>
      <c r="J16" s="7" t="s">
        <v>50</v>
      </c>
      <c r="K16" s="7" t="s">
        <v>51</v>
      </c>
      <c r="L16" s="7" t="s">
        <v>50</v>
      </c>
      <c r="M16" s="6"/>
      <c r="N16" s="6" t="n">
        <v>15</v>
      </c>
      <c r="O16" s="7" t="s">
        <v>51</v>
      </c>
      <c r="P16" s="9" t="n">
        <f aca="false">IF(COUNT(G16:I16)&lt;3,"",G16*H16*I16)</f>
        <v>1.69</v>
      </c>
      <c r="Q16" s="10" t="str">
        <f aca="false">IF(OR(P16="",P16&lt;=3),"",E16/P16)</f>
        <v/>
      </c>
    </row>
    <row r="17" customFormat="false" ht="15" hidden="false" customHeight="true" outlineLevel="0" collapsed="false">
      <c r="A17" s="6" t="s">
        <v>100</v>
      </c>
      <c r="B17" s="6" t="s">
        <v>101</v>
      </c>
      <c r="C17" s="7" t="s">
        <v>83</v>
      </c>
      <c r="D17" s="7" t="s">
        <v>102</v>
      </c>
      <c r="E17" s="8" t="n">
        <v>1.5</v>
      </c>
      <c r="F17" s="8" t="n">
        <v>4</v>
      </c>
      <c r="G17" s="8" t="n">
        <v>1.5</v>
      </c>
      <c r="H17" s="8" t="n">
        <v>1</v>
      </c>
      <c r="I17" s="8" t="n">
        <v>0.8</v>
      </c>
      <c r="J17" s="7" t="s">
        <v>50</v>
      </c>
      <c r="K17" s="7" t="s">
        <v>50</v>
      </c>
      <c r="L17" s="7" t="s">
        <v>50</v>
      </c>
      <c r="M17" s="6"/>
      <c r="N17" s="6" t="n">
        <v>16</v>
      </c>
      <c r="O17" s="7" t="s">
        <v>51</v>
      </c>
      <c r="P17" s="9" t="n">
        <f aca="false">IF(COUNT(G17:I17)&lt;3,"",G17*H17*I17)</f>
        <v>1.2</v>
      </c>
      <c r="Q17" s="10" t="str">
        <f aca="false">IF(OR(P17="",P17&lt;=3),"",E17/P17)</f>
        <v/>
      </c>
    </row>
    <row r="18" customFormat="false" ht="15" hidden="false" customHeight="true" outlineLevel="0" collapsed="false">
      <c r="A18" s="6" t="s">
        <v>103</v>
      </c>
      <c r="B18" s="6" t="s">
        <v>104</v>
      </c>
      <c r="C18" s="7" t="s">
        <v>83</v>
      </c>
      <c r="D18" s="7" t="s">
        <v>105</v>
      </c>
      <c r="E18" s="8" t="n">
        <v>1.5</v>
      </c>
      <c r="F18" s="8" t="n">
        <v>10</v>
      </c>
      <c r="G18" s="8" t="n">
        <v>1.3</v>
      </c>
      <c r="H18" s="8" t="n">
        <v>1</v>
      </c>
      <c r="I18" s="8" t="n">
        <v>1</v>
      </c>
      <c r="J18" s="7" t="s">
        <v>50</v>
      </c>
      <c r="K18" s="7" t="s">
        <v>50</v>
      </c>
      <c r="L18" s="7" t="s">
        <v>50</v>
      </c>
      <c r="M18" s="6"/>
      <c r="N18" s="6" t="n">
        <v>17</v>
      </c>
      <c r="O18" s="7" t="s">
        <v>51</v>
      </c>
      <c r="P18" s="9" t="n">
        <f aca="false">IF(COUNT(G18:I18)&lt;3,"",G18*H18*I18)</f>
        <v>1.3</v>
      </c>
      <c r="Q18" s="10" t="str">
        <f aca="false">IF(OR(P18="",P18&lt;=3),"",E18/P18)</f>
        <v/>
      </c>
    </row>
    <row r="19" customFormat="false" ht="15" hidden="false" customHeight="true" outlineLevel="0" collapsed="false">
      <c r="A19" s="6" t="s">
        <v>106</v>
      </c>
      <c r="B19" s="6" t="s">
        <v>107</v>
      </c>
      <c r="C19" s="7" t="s">
        <v>83</v>
      </c>
      <c r="D19" s="7" t="s">
        <v>108</v>
      </c>
      <c r="E19" s="8" t="n">
        <v>1.5</v>
      </c>
      <c r="F19" s="8" t="n">
        <v>8</v>
      </c>
      <c r="G19" s="8" t="n">
        <v>1.5</v>
      </c>
      <c r="H19" s="8" t="n">
        <v>1</v>
      </c>
      <c r="I19" s="8" t="n">
        <v>0.8</v>
      </c>
      <c r="J19" s="7" t="s">
        <v>50</v>
      </c>
      <c r="K19" s="7" t="s">
        <v>50</v>
      </c>
      <c r="L19" s="7" t="s">
        <v>50</v>
      </c>
      <c r="M19" s="6"/>
      <c r="N19" s="6" t="n">
        <v>18</v>
      </c>
      <c r="O19" s="7" t="s">
        <v>51</v>
      </c>
      <c r="P19" s="9" t="n">
        <f aca="false">IF(COUNT(G19:I19)&lt;3,"",G19*H19*I19)</f>
        <v>1.2</v>
      </c>
      <c r="Q19" s="10" t="str">
        <f aca="false">IF(OR(P19="",P19&lt;=3),"",E19/P19)</f>
        <v/>
      </c>
    </row>
    <row r="20" customFormat="false" ht="15" hidden="false" customHeight="true" outlineLevel="0" collapsed="false">
      <c r="A20" s="6" t="s">
        <v>109</v>
      </c>
      <c r="B20" s="6" t="s">
        <v>110</v>
      </c>
      <c r="C20" s="7" t="s">
        <v>83</v>
      </c>
      <c r="D20" s="7" t="s">
        <v>111</v>
      </c>
      <c r="E20" s="8" t="n">
        <v>3</v>
      </c>
      <c r="F20" s="8" t="n">
        <v>10</v>
      </c>
      <c r="G20" s="8" t="n">
        <v>1.7</v>
      </c>
      <c r="H20" s="8" t="n">
        <v>1.3</v>
      </c>
      <c r="I20" s="8" t="n">
        <v>1.3</v>
      </c>
      <c r="J20" s="7" t="s">
        <v>50</v>
      </c>
      <c r="K20" s="7" t="s">
        <v>50</v>
      </c>
      <c r="L20" s="7" t="s">
        <v>50</v>
      </c>
      <c r="M20" s="6" t="s">
        <v>112</v>
      </c>
      <c r="N20" s="6" t="n">
        <v>19</v>
      </c>
      <c r="O20" s="7" t="s">
        <v>51</v>
      </c>
      <c r="P20" s="9" t="n">
        <f aca="false">IF(COUNT(G20:I20)&lt;3,"",G20*H20*I20)</f>
        <v>2.873</v>
      </c>
      <c r="Q20" s="10" t="str">
        <f aca="false">IF(OR(P20="",P20&lt;=3),"",E20/P20)</f>
        <v/>
      </c>
    </row>
    <row r="21" customFormat="false" ht="15" hidden="false" customHeight="true" outlineLevel="0" collapsed="false">
      <c r="A21" s="6" t="s">
        <v>113</v>
      </c>
      <c r="B21" s="6" t="s">
        <v>114</v>
      </c>
      <c r="C21" s="7" t="s">
        <v>115</v>
      </c>
      <c r="D21" s="7" t="s">
        <v>116</v>
      </c>
      <c r="E21" s="8" t="n">
        <v>35</v>
      </c>
      <c r="F21" s="8" t="n">
        <v>45</v>
      </c>
      <c r="G21" s="8" t="n">
        <v>6.5</v>
      </c>
      <c r="H21" s="8" t="n">
        <v>3</v>
      </c>
      <c r="I21" s="8" t="n">
        <v>3</v>
      </c>
      <c r="J21" s="7" t="s">
        <v>51</v>
      </c>
      <c r="K21" s="7" t="s">
        <v>50</v>
      </c>
      <c r="L21" s="7" t="s">
        <v>50</v>
      </c>
      <c r="M21" s="6" t="s">
        <v>117</v>
      </c>
      <c r="N21" s="6" t="n">
        <v>20</v>
      </c>
      <c r="O21" s="7" t="s">
        <v>51</v>
      </c>
      <c r="P21" s="9" t="n">
        <f aca="false">IF(COUNT(G21:I21)&lt;3,"",G21*H21*I21)</f>
        <v>58.5</v>
      </c>
      <c r="Q21" s="10" t="n">
        <f aca="false">IF(OR(P21="",P21&lt;=3),"",E21/P21)</f>
        <v>0.598290598290598</v>
      </c>
    </row>
    <row r="22" customFormat="false" ht="15" hidden="false" customHeight="true" outlineLevel="0" collapsed="false">
      <c r="A22" s="6" t="s">
        <v>118</v>
      </c>
      <c r="B22" s="6" t="s">
        <v>114</v>
      </c>
      <c r="C22" s="7" t="s">
        <v>115</v>
      </c>
      <c r="D22" s="7" t="s">
        <v>116</v>
      </c>
      <c r="E22" s="8" t="n">
        <v>24</v>
      </c>
      <c r="F22" s="8" t="n">
        <v>32</v>
      </c>
      <c r="G22" s="8" t="n">
        <v>4.5</v>
      </c>
      <c r="H22" s="8" t="n">
        <v>3</v>
      </c>
      <c r="I22" s="8" t="n">
        <v>3</v>
      </c>
      <c r="J22" s="7" t="s">
        <v>51</v>
      </c>
      <c r="K22" s="7" t="s">
        <v>50</v>
      </c>
      <c r="L22" s="7" t="s">
        <v>50</v>
      </c>
      <c r="M22" s="6" t="s">
        <v>119</v>
      </c>
      <c r="N22" s="6" t="n">
        <v>21</v>
      </c>
      <c r="O22" s="7" t="s">
        <v>51</v>
      </c>
      <c r="P22" s="9" t="n">
        <f aca="false">IF(COUNT(G22:I22)&lt;3,"",G22*H22*I22)</f>
        <v>40.5</v>
      </c>
      <c r="Q22" s="10" t="n">
        <f aca="false">IF(OR(P22="",P22&lt;=3),"",E22/P22)</f>
        <v>0.592592592592593</v>
      </c>
    </row>
    <row r="23" customFormat="false" ht="15" hidden="false" customHeight="true" outlineLevel="0" collapsed="false">
      <c r="A23" s="6" t="s">
        <v>120</v>
      </c>
      <c r="B23" s="6" t="s">
        <v>121</v>
      </c>
      <c r="C23" s="7" t="s">
        <v>115</v>
      </c>
      <c r="D23" s="7" t="s">
        <v>116</v>
      </c>
      <c r="E23" s="8" t="n">
        <v>55</v>
      </c>
      <c r="F23" s="8" t="n">
        <v>70</v>
      </c>
      <c r="G23" s="8" t="n">
        <v>8</v>
      </c>
      <c r="H23" s="8" t="n">
        <v>6</v>
      </c>
      <c r="I23" s="8" t="n">
        <v>3</v>
      </c>
      <c r="J23" s="7" t="s">
        <v>51</v>
      </c>
      <c r="K23" s="7" t="s">
        <v>50</v>
      </c>
      <c r="L23" s="7" t="s">
        <v>50</v>
      </c>
      <c r="M23" s="6" t="s">
        <v>122</v>
      </c>
      <c r="N23" s="6" t="n">
        <v>22</v>
      </c>
      <c r="O23" s="7" t="s">
        <v>51</v>
      </c>
      <c r="P23" s="9" t="n">
        <f aca="false">IF(COUNT(G23:I23)&lt;3,"",G23*H23*I23)</f>
        <v>144</v>
      </c>
      <c r="Q23" s="10" t="n">
        <f aca="false">IF(OR(P23="",P23&lt;=3),"",E23/P23)</f>
        <v>0.381944444444444</v>
      </c>
    </row>
    <row r="24" customFormat="false" ht="15" hidden="false" customHeight="true" outlineLevel="0" collapsed="false">
      <c r="A24" s="6" t="s">
        <v>123</v>
      </c>
      <c r="B24" s="6" t="s">
        <v>124</v>
      </c>
      <c r="C24" s="7" t="s">
        <v>115</v>
      </c>
      <c r="D24" s="7" t="s">
        <v>125</v>
      </c>
      <c r="E24" s="8" t="n">
        <v>30</v>
      </c>
      <c r="F24" s="8" t="n">
        <v>60</v>
      </c>
      <c r="G24" s="8" t="n">
        <v>6.5</v>
      </c>
      <c r="H24" s="8" t="n">
        <v>5</v>
      </c>
      <c r="I24" s="8" t="n">
        <v>2.5</v>
      </c>
      <c r="J24" s="7" t="s">
        <v>51</v>
      </c>
      <c r="K24" s="7" t="s">
        <v>50</v>
      </c>
      <c r="L24" s="7" t="s">
        <v>50</v>
      </c>
      <c r="M24" s="6" t="s">
        <v>126</v>
      </c>
      <c r="N24" s="6" t="n">
        <v>23</v>
      </c>
      <c r="O24" s="7" t="s">
        <v>51</v>
      </c>
      <c r="P24" s="9" t="n">
        <f aca="false">IF(COUNT(G24:I24)&lt;3,"",G24*H24*I24)</f>
        <v>81.25</v>
      </c>
      <c r="Q24" s="10" t="n">
        <f aca="false">IF(OR(P24="",P24&lt;=3),"",E24/P24)</f>
        <v>0.369230769230769</v>
      </c>
    </row>
    <row r="25" customFormat="false" ht="15" hidden="false" customHeight="true" outlineLevel="0" collapsed="false">
      <c r="A25" s="6" t="s">
        <v>127</v>
      </c>
      <c r="B25" s="6" t="s">
        <v>128</v>
      </c>
      <c r="C25" s="7" t="s">
        <v>115</v>
      </c>
      <c r="D25" s="7" t="s">
        <v>125</v>
      </c>
      <c r="E25" s="8" t="n">
        <v>18</v>
      </c>
      <c r="F25" s="8" t="n">
        <v>35</v>
      </c>
      <c r="G25" s="8" t="n">
        <v>6.5</v>
      </c>
      <c r="H25" s="8" t="n">
        <v>3</v>
      </c>
      <c r="I25" s="8" t="n">
        <v>2</v>
      </c>
      <c r="J25" s="7" t="s">
        <v>51</v>
      </c>
      <c r="K25" s="7" t="s">
        <v>50</v>
      </c>
      <c r="L25" s="7" t="s">
        <v>50</v>
      </c>
      <c r="M25" s="6"/>
      <c r="N25" s="6" t="n">
        <v>24</v>
      </c>
      <c r="O25" s="7" t="s">
        <v>51</v>
      </c>
      <c r="P25" s="9" t="n">
        <f aca="false">IF(COUNT(G25:I25)&lt;3,"",G25*H25*I25)</f>
        <v>39</v>
      </c>
      <c r="Q25" s="10" t="n">
        <f aca="false">IF(OR(P25="",P25&lt;=3),"",E25/P25)</f>
        <v>0.461538461538462</v>
      </c>
    </row>
    <row r="26" customFormat="false" ht="15" hidden="false" customHeight="true" outlineLevel="0" collapsed="false">
      <c r="A26" s="6" t="s">
        <v>129</v>
      </c>
      <c r="B26" s="6" t="s">
        <v>130</v>
      </c>
      <c r="C26" s="7" t="s">
        <v>115</v>
      </c>
      <c r="D26" s="7" t="s">
        <v>131</v>
      </c>
      <c r="E26" s="8" t="n">
        <v>14</v>
      </c>
      <c r="F26" s="8" t="n">
        <v>25</v>
      </c>
      <c r="G26" s="8" t="n">
        <v>6.5</v>
      </c>
      <c r="H26" s="8" t="n">
        <v>5</v>
      </c>
      <c r="I26" s="8" t="n">
        <v>0.7</v>
      </c>
      <c r="J26" s="7" t="s">
        <v>51</v>
      </c>
      <c r="K26" s="7" t="s">
        <v>50</v>
      </c>
      <c r="L26" s="7" t="s">
        <v>50</v>
      </c>
      <c r="M26" s="6" t="s">
        <v>132</v>
      </c>
      <c r="N26" s="6" t="n">
        <v>25</v>
      </c>
      <c r="O26" s="7" t="s">
        <v>51</v>
      </c>
      <c r="P26" s="9" t="n">
        <f aca="false">IF(COUNT(G26:I26)&lt;3,"",G26*H26*I26)</f>
        <v>22.75</v>
      </c>
      <c r="Q26" s="10" t="n">
        <f aca="false">IF(OR(P26="",P26&lt;=3),"",E26/P26)</f>
        <v>0.615384615384615</v>
      </c>
    </row>
    <row r="27" customFormat="false" ht="15" hidden="false" customHeight="true" outlineLevel="0" collapsed="false">
      <c r="A27" s="6" t="s">
        <v>133</v>
      </c>
      <c r="B27" s="6" t="s">
        <v>134</v>
      </c>
      <c r="C27" s="7" t="s">
        <v>115</v>
      </c>
      <c r="D27" s="7" t="s">
        <v>135</v>
      </c>
      <c r="E27" s="8" t="n">
        <v>38</v>
      </c>
      <c r="F27" s="8" t="n">
        <v>70</v>
      </c>
      <c r="G27" s="8" t="n">
        <v>4</v>
      </c>
      <c r="H27" s="8" t="n">
        <v>2</v>
      </c>
      <c r="I27" s="8" t="n">
        <v>6.5</v>
      </c>
      <c r="J27" s="7" t="s">
        <v>51</v>
      </c>
      <c r="K27" s="7" t="s">
        <v>50</v>
      </c>
      <c r="L27" s="7" t="s">
        <v>50</v>
      </c>
      <c r="M27" s="6" t="s">
        <v>136</v>
      </c>
      <c r="N27" s="6" t="n">
        <v>26</v>
      </c>
      <c r="O27" s="7" t="s">
        <v>51</v>
      </c>
      <c r="P27" s="9" t="n">
        <f aca="false">IF(COUNT(G27:I27)&lt;3,"",G27*H27*I27)</f>
        <v>52</v>
      </c>
      <c r="Q27" s="10" t="n">
        <f aca="false">IF(OR(P27="",P27&lt;=3),"",E27/P27)</f>
        <v>0.730769230769231</v>
      </c>
    </row>
    <row r="28" customFormat="false" ht="15" hidden="false" customHeight="true" outlineLevel="0" collapsed="false">
      <c r="A28" s="6" t="s">
        <v>137</v>
      </c>
      <c r="B28" s="6" t="s">
        <v>138</v>
      </c>
      <c r="C28" s="7" t="s">
        <v>115</v>
      </c>
      <c r="D28" s="7" t="s">
        <v>139</v>
      </c>
      <c r="E28" s="8" t="n">
        <v>26</v>
      </c>
      <c r="F28" s="8" t="n">
        <v>80</v>
      </c>
      <c r="G28" s="8" t="n">
        <v>3</v>
      </c>
      <c r="H28" s="8" t="n">
        <v>1.7</v>
      </c>
      <c r="I28" s="8" t="n">
        <v>6</v>
      </c>
      <c r="J28" s="7" t="s">
        <v>51</v>
      </c>
      <c r="K28" s="7" t="s">
        <v>50</v>
      </c>
      <c r="L28" s="7" t="s">
        <v>50</v>
      </c>
      <c r="M28" s="6"/>
      <c r="N28" s="6" t="n">
        <v>27</v>
      </c>
      <c r="O28" s="7" t="s">
        <v>51</v>
      </c>
      <c r="P28" s="9" t="n">
        <f aca="false">IF(COUNT(G28:I28)&lt;3,"",G28*H28*I28)</f>
        <v>30.6</v>
      </c>
      <c r="Q28" s="10" t="n">
        <f aca="false">IF(OR(P28="",P28&lt;=3),"",E28/P28)</f>
        <v>0.849673202614379</v>
      </c>
    </row>
    <row r="29" customFormat="false" ht="15" hidden="false" customHeight="true" outlineLevel="0" collapsed="false">
      <c r="A29" s="6" t="s">
        <v>140</v>
      </c>
      <c r="B29" s="6" t="s">
        <v>141</v>
      </c>
      <c r="C29" s="7" t="s">
        <v>115</v>
      </c>
      <c r="D29" s="7" t="s">
        <v>142</v>
      </c>
      <c r="E29" s="8" t="n">
        <v>22</v>
      </c>
      <c r="F29" s="8" t="n">
        <v>40</v>
      </c>
      <c r="G29" s="8" t="n">
        <v>5</v>
      </c>
      <c r="H29" s="8" t="n">
        <v>3</v>
      </c>
      <c r="I29" s="8" t="n">
        <v>2.5</v>
      </c>
      <c r="J29" s="7" t="s">
        <v>51</v>
      </c>
      <c r="K29" s="7" t="s">
        <v>50</v>
      </c>
      <c r="L29" s="7" t="s">
        <v>50</v>
      </c>
      <c r="M29" s="6" t="s">
        <v>143</v>
      </c>
      <c r="N29" s="6" t="n">
        <v>28</v>
      </c>
      <c r="O29" s="7" t="s">
        <v>51</v>
      </c>
      <c r="P29" s="9" t="n">
        <f aca="false">IF(COUNT(G29:I29)&lt;3,"",G29*H29*I29)</f>
        <v>37.5</v>
      </c>
      <c r="Q29" s="10" t="n">
        <f aca="false">IF(OR(P29="",P29&lt;=3),"",E29/P29)</f>
        <v>0.586666666666667</v>
      </c>
    </row>
    <row r="30" customFormat="false" ht="15" hidden="false" customHeight="true" outlineLevel="0" collapsed="false">
      <c r="A30" s="6" t="s">
        <v>144</v>
      </c>
      <c r="B30" s="6" t="s">
        <v>145</v>
      </c>
      <c r="C30" s="7" t="s">
        <v>115</v>
      </c>
      <c r="D30" s="7" t="s">
        <v>146</v>
      </c>
      <c r="E30" s="8" t="n">
        <v>6</v>
      </c>
      <c r="F30" s="8" t="n">
        <v>7</v>
      </c>
      <c r="G30" s="8" t="n">
        <v>1.5</v>
      </c>
      <c r="H30" s="8" t="n">
        <v>1.5</v>
      </c>
      <c r="I30" s="8" t="n">
        <v>3</v>
      </c>
      <c r="J30" s="7" t="s">
        <v>50</v>
      </c>
      <c r="K30" s="7" t="s">
        <v>50</v>
      </c>
      <c r="L30" s="7" t="s">
        <v>50</v>
      </c>
      <c r="M30" s="6"/>
      <c r="N30" s="6" t="n">
        <v>29</v>
      </c>
      <c r="O30" s="7" t="s">
        <v>51</v>
      </c>
      <c r="P30" s="9" t="n">
        <f aca="false">IF(COUNT(G30:I30)&lt;3,"",G30*H30*I30)</f>
        <v>6.75</v>
      </c>
      <c r="Q30" s="10" t="n">
        <f aca="false">IF(OR(P30="",P30&lt;=3),"",E30/P30)</f>
        <v>0.888888888888889</v>
      </c>
    </row>
    <row r="31" customFormat="false" ht="15" hidden="false" customHeight="true" outlineLevel="0" collapsed="false">
      <c r="A31" s="6" t="s">
        <v>147</v>
      </c>
      <c r="B31" s="6" t="s">
        <v>148</v>
      </c>
      <c r="C31" s="7" t="s">
        <v>115</v>
      </c>
      <c r="D31" s="7" t="s">
        <v>149</v>
      </c>
      <c r="E31" s="8" t="n">
        <v>14</v>
      </c>
      <c r="F31" s="8" t="n">
        <v>25</v>
      </c>
      <c r="G31" s="8" t="n">
        <v>4</v>
      </c>
      <c r="H31" s="8" t="n">
        <v>2</v>
      </c>
      <c r="I31" s="8" t="n">
        <v>2.5</v>
      </c>
      <c r="J31" s="7" t="s">
        <v>50</v>
      </c>
      <c r="K31" s="7" t="s">
        <v>50</v>
      </c>
      <c r="L31" s="7" t="s">
        <v>50</v>
      </c>
      <c r="M31" s="6"/>
      <c r="N31" s="6" t="n">
        <v>30</v>
      </c>
      <c r="O31" s="7" t="s">
        <v>51</v>
      </c>
      <c r="P31" s="9" t="n">
        <f aca="false">IF(COUNT(G31:I31)&lt;3,"",G31*H31*I31)</f>
        <v>20</v>
      </c>
      <c r="Q31" s="10" t="n">
        <f aca="false">IF(OR(P31="",P31&lt;=3),"",E31/P31)</f>
        <v>0.7</v>
      </c>
    </row>
    <row r="32" customFormat="false" ht="15" hidden="false" customHeight="true" outlineLevel="0" collapsed="false">
      <c r="A32" s="6" t="s">
        <v>150</v>
      </c>
      <c r="B32" s="6" t="s">
        <v>151</v>
      </c>
      <c r="C32" s="7" t="s">
        <v>115</v>
      </c>
      <c r="D32" s="7" t="s">
        <v>105</v>
      </c>
      <c r="E32" s="8" t="n">
        <v>16</v>
      </c>
      <c r="F32" s="8" t="n">
        <v>35</v>
      </c>
      <c r="G32" s="8" t="n">
        <v>3</v>
      </c>
      <c r="H32" s="8" t="n">
        <v>1.2</v>
      </c>
      <c r="I32" s="8" t="n">
        <v>5</v>
      </c>
      <c r="J32" s="7" t="s">
        <v>50</v>
      </c>
      <c r="K32" s="7" t="s">
        <v>50</v>
      </c>
      <c r="L32" s="7" t="s">
        <v>50</v>
      </c>
      <c r="M32" s="6"/>
      <c r="N32" s="6" t="n">
        <v>31</v>
      </c>
      <c r="O32" s="7" t="s">
        <v>51</v>
      </c>
      <c r="P32" s="9" t="n">
        <f aca="false">IF(COUNT(G32:I32)&lt;3,"",G32*H32*I32)</f>
        <v>18</v>
      </c>
      <c r="Q32" s="10" t="n">
        <f aca="false">IF(OR(P32="",P32&lt;=3),"",E32/P32)</f>
        <v>0.888888888888889</v>
      </c>
    </row>
    <row r="33" customFormat="false" ht="15" hidden="false" customHeight="true" outlineLevel="0" collapsed="false">
      <c r="A33" s="6" t="s">
        <v>152</v>
      </c>
      <c r="B33" s="6" t="s">
        <v>153</v>
      </c>
      <c r="C33" s="7" t="s">
        <v>115</v>
      </c>
      <c r="D33" s="7" t="s">
        <v>154</v>
      </c>
      <c r="E33" s="8" t="n">
        <v>9</v>
      </c>
      <c r="F33" s="8" t="n">
        <v>14</v>
      </c>
      <c r="G33" s="8" t="n">
        <v>2.5</v>
      </c>
      <c r="H33" s="8" t="n">
        <v>1.2</v>
      </c>
      <c r="I33" s="8" t="n">
        <v>3</v>
      </c>
      <c r="J33" s="7" t="s">
        <v>50</v>
      </c>
      <c r="K33" s="7" t="s">
        <v>50</v>
      </c>
      <c r="L33" s="7" t="s">
        <v>50</v>
      </c>
      <c r="M33" s="6"/>
      <c r="N33" s="6" t="n">
        <v>32</v>
      </c>
      <c r="O33" s="7" t="s">
        <v>51</v>
      </c>
      <c r="P33" s="9" t="n">
        <f aca="false">IF(COUNT(G33:I33)&lt;3,"",G33*H33*I33)</f>
        <v>9</v>
      </c>
      <c r="Q33" s="10" t="n">
        <f aca="false">IF(OR(P33="",P33&lt;=3),"",E33/P33)</f>
        <v>1</v>
      </c>
    </row>
    <row r="34" customFormat="false" ht="15" hidden="false" customHeight="true" outlineLevel="0" collapsed="false">
      <c r="A34" s="6" t="s">
        <v>155</v>
      </c>
      <c r="B34" s="6" t="s">
        <v>156</v>
      </c>
      <c r="C34" s="7" t="s">
        <v>115</v>
      </c>
      <c r="D34" s="7" t="s">
        <v>157</v>
      </c>
      <c r="E34" s="8" t="n">
        <v>8</v>
      </c>
      <c r="F34" s="8" t="n">
        <v>15</v>
      </c>
      <c r="G34" s="8" t="n">
        <v>3</v>
      </c>
      <c r="H34" s="8" t="n">
        <v>2</v>
      </c>
      <c r="I34" s="8" t="n">
        <v>1.5</v>
      </c>
      <c r="J34" s="7" t="s">
        <v>50</v>
      </c>
      <c r="K34" s="7" t="s">
        <v>50</v>
      </c>
      <c r="L34" s="7" t="s">
        <v>50</v>
      </c>
      <c r="M34" s="6"/>
      <c r="N34" s="6" t="n">
        <v>33</v>
      </c>
      <c r="O34" s="7" t="s">
        <v>51</v>
      </c>
      <c r="P34" s="9" t="n">
        <f aca="false">IF(COUNT(G34:I34)&lt;3,"",G34*H34*I34)</f>
        <v>9</v>
      </c>
      <c r="Q34" s="10" t="n">
        <f aca="false">IF(OR(P34="",P34&lt;=3),"",E34/P34)</f>
        <v>0.888888888888889</v>
      </c>
    </row>
    <row r="35" customFormat="false" ht="15" hidden="false" customHeight="true" outlineLevel="0" collapsed="false">
      <c r="A35" s="6" t="s">
        <v>158</v>
      </c>
      <c r="B35" s="6" t="s">
        <v>159</v>
      </c>
      <c r="C35" s="7" t="s">
        <v>115</v>
      </c>
      <c r="D35" s="7" t="s">
        <v>160</v>
      </c>
      <c r="E35" s="8" t="n">
        <v>10</v>
      </c>
      <c r="F35" s="8" t="n">
        <v>30</v>
      </c>
      <c r="G35" s="8" t="n">
        <v>4</v>
      </c>
      <c r="H35" s="8" t="n">
        <v>1.5</v>
      </c>
      <c r="I35" s="8" t="n">
        <v>2</v>
      </c>
      <c r="J35" s="7" t="s">
        <v>50</v>
      </c>
      <c r="K35" s="7" t="s">
        <v>50</v>
      </c>
      <c r="L35" s="7" t="s">
        <v>50</v>
      </c>
      <c r="M35" s="6"/>
      <c r="N35" s="6" t="n">
        <v>34</v>
      </c>
      <c r="O35" s="7" t="s">
        <v>51</v>
      </c>
      <c r="P35" s="9" t="n">
        <f aca="false">IF(COUNT(G35:I35)&lt;3,"",G35*H35*I35)</f>
        <v>12</v>
      </c>
      <c r="Q35" s="10" t="n">
        <f aca="false">IF(OR(P35="",P35&lt;=3),"",E35/P35)</f>
        <v>0.833333333333333</v>
      </c>
    </row>
    <row r="36" customFormat="false" ht="15" hidden="false" customHeight="true" outlineLevel="0" collapsed="false">
      <c r="A36" s="6" t="s">
        <v>161</v>
      </c>
      <c r="B36" s="6" t="s">
        <v>162</v>
      </c>
      <c r="C36" s="7" t="s">
        <v>115</v>
      </c>
      <c r="D36" s="7" t="s">
        <v>163</v>
      </c>
      <c r="E36" s="8" t="n">
        <v>12</v>
      </c>
      <c r="F36" s="8" t="n">
        <v>22</v>
      </c>
      <c r="G36" s="8" t="n">
        <v>3</v>
      </c>
      <c r="H36" s="8" t="n">
        <v>1.5</v>
      </c>
      <c r="I36" s="8" t="n">
        <v>5</v>
      </c>
      <c r="J36" s="7" t="s">
        <v>51</v>
      </c>
      <c r="K36" s="7" t="s">
        <v>51</v>
      </c>
      <c r="L36" s="7" t="s">
        <v>50</v>
      </c>
      <c r="M36" s="6"/>
      <c r="N36" s="6" t="n">
        <v>35</v>
      </c>
      <c r="O36" s="7" t="s">
        <v>51</v>
      </c>
      <c r="P36" s="9" t="n">
        <f aca="false">IF(COUNT(G36:I36)&lt;3,"",G36*H36*I36)</f>
        <v>22.5</v>
      </c>
      <c r="Q36" s="10" t="n">
        <f aca="false">IF(OR(P36="",P36&lt;=3),"",E36/P36)</f>
        <v>0.533333333333333</v>
      </c>
    </row>
    <row r="37" customFormat="false" ht="15" hidden="false" customHeight="true" outlineLevel="0" collapsed="false">
      <c r="A37" s="6" t="s">
        <v>164</v>
      </c>
      <c r="B37" s="6" t="s">
        <v>165</v>
      </c>
      <c r="C37" s="7" t="s">
        <v>166</v>
      </c>
      <c r="D37" s="7" t="s">
        <v>167</v>
      </c>
      <c r="E37" s="8" t="n">
        <v>28</v>
      </c>
      <c r="F37" s="8" t="n">
        <v>90</v>
      </c>
      <c r="G37" s="8" t="n">
        <v>2.5</v>
      </c>
      <c r="H37" s="8" t="n">
        <v>2.5</v>
      </c>
      <c r="I37" s="8" t="n">
        <v>6</v>
      </c>
      <c r="J37" s="7" t="s">
        <v>51</v>
      </c>
      <c r="K37" s="7" t="s">
        <v>50</v>
      </c>
      <c r="L37" s="7" t="s">
        <v>50</v>
      </c>
      <c r="M37" s="6" t="s">
        <v>168</v>
      </c>
      <c r="N37" s="6" t="n">
        <v>36</v>
      </c>
      <c r="O37" s="7" t="s">
        <v>51</v>
      </c>
      <c r="P37" s="9" t="n">
        <f aca="false">IF(COUNT(G37:I37)&lt;3,"",G37*H37*I37)</f>
        <v>37.5</v>
      </c>
      <c r="Q37" s="10" t="n">
        <f aca="false">IF(OR(P37="",P37&lt;=3),"",E37/P37)</f>
        <v>0.746666666666667</v>
      </c>
    </row>
    <row r="38" customFormat="false" ht="15" hidden="false" customHeight="true" outlineLevel="0" collapsed="false">
      <c r="A38" s="6" t="s">
        <v>169</v>
      </c>
      <c r="B38" s="6" t="s">
        <v>165</v>
      </c>
      <c r="C38" s="7" t="s">
        <v>166</v>
      </c>
      <c r="D38" s="7" t="s">
        <v>167</v>
      </c>
      <c r="E38" s="8" t="n">
        <v>16</v>
      </c>
      <c r="F38" s="8" t="n">
        <v>55</v>
      </c>
      <c r="G38" s="8" t="n">
        <v>2</v>
      </c>
      <c r="H38" s="8" t="n">
        <v>2</v>
      </c>
      <c r="I38" s="8" t="n">
        <v>5</v>
      </c>
      <c r="J38" s="7" t="s">
        <v>51</v>
      </c>
      <c r="K38" s="7" t="s">
        <v>50</v>
      </c>
      <c r="L38" s="7" t="s">
        <v>50</v>
      </c>
      <c r="M38" s="6" t="s">
        <v>170</v>
      </c>
      <c r="N38" s="6" t="n">
        <v>37</v>
      </c>
      <c r="O38" s="7" t="s">
        <v>51</v>
      </c>
      <c r="P38" s="9" t="n">
        <f aca="false">IF(COUNT(G38:I38)&lt;3,"",G38*H38*I38)</f>
        <v>20</v>
      </c>
      <c r="Q38" s="10" t="n">
        <f aca="false">IF(OR(P38="",P38&lt;=3),"",E38/P38)</f>
        <v>0.8</v>
      </c>
    </row>
    <row r="39" customFormat="false" ht="15" hidden="false" customHeight="true" outlineLevel="0" collapsed="false">
      <c r="A39" s="6" t="s">
        <v>171</v>
      </c>
      <c r="B39" s="6" t="s">
        <v>172</v>
      </c>
      <c r="C39" s="7" t="s">
        <v>166</v>
      </c>
      <c r="D39" s="7" t="s">
        <v>173</v>
      </c>
      <c r="E39" s="8" t="n">
        <v>15</v>
      </c>
      <c r="F39" s="8" t="n">
        <v>65</v>
      </c>
      <c r="G39" s="8" t="n">
        <v>2.2</v>
      </c>
      <c r="H39" s="8" t="n">
        <v>2.2</v>
      </c>
      <c r="I39" s="8" t="n">
        <v>3.5</v>
      </c>
      <c r="J39" s="7" t="s">
        <v>51</v>
      </c>
      <c r="K39" s="7" t="s">
        <v>50</v>
      </c>
      <c r="L39" s="7" t="s">
        <v>50</v>
      </c>
      <c r="M39" s="6"/>
      <c r="N39" s="6" t="n">
        <v>38</v>
      </c>
      <c r="O39" s="7" t="s">
        <v>51</v>
      </c>
      <c r="P39" s="9" t="n">
        <f aca="false">IF(COUNT(G39:I39)&lt;3,"",G39*H39*I39)</f>
        <v>16.94</v>
      </c>
      <c r="Q39" s="10" t="n">
        <f aca="false">IF(OR(P39="",P39&lt;=3),"",E39/P39)</f>
        <v>0.885478158205431</v>
      </c>
    </row>
    <row r="40" customFormat="false" ht="15" hidden="false" customHeight="true" outlineLevel="0" collapsed="false">
      <c r="A40" s="6" t="s">
        <v>174</v>
      </c>
      <c r="B40" s="6" t="s">
        <v>175</v>
      </c>
      <c r="C40" s="7" t="s">
        <v>166</v>
      </c>
      <c r="D40" s="7" t="s">
        <v>176</v>
      </c>
      <c r="E40" s="8" t="n">
        <v>12</v>
      </c>
      <c r="F40" s="8" t="n">
        <v>45</v>
      </c>
      <c r="G40" s="8" t="n">
        <v>3.5</v>
      </c>
      <c r="H40" s="8" t="n">
        <v>2.5</v>
      </c>
      <c r="I40" s="8" t="n">
        <v>2</v>
      </c>
      <c r="J40" s="7" t="s">
        <v>51</v>
      </c>
      <c r="K40" s="7" t="s">
        <v>50</v>
      </c>
      <c r="L40" s="7" t="s">
        <v>50</v>
      </c>
      <c r="M40" s="6" t="s">
        <v>177</v>
      </c>
      <c r="N40" s="6" t="n">
        <v>39</v>
      </c>
      <c r="O40" s="7" t="s">
        <v>51</v>
      </c>
      <c r="P40" s="9" t="n">
        <f aca="false">IF(COUNT(G40:I40)&lt;3,"",G40*H40*I40)</f>
        <v>17.5</v>
      </c>
      <c r="Q40" s="10" t="n">
        <f aca="false">IF(OR(P40="",P40&lt;=3),"",E40/P40)</f>
        <v>0.685714285714286</v>
      </c>
    </row>
    <row r="41" customFormat="false" ht="15" hidden="false" customHeight="true" outlineLevel="0" collapsed="false">
      <c r="A41" s="6" t="s">
        <v>178</v>
      </c>
      <c r="B41" s="6" t="s">
        <v>179</v>
      </c>
      <c r="C41" s="7" t="s">
        <v>166</v>
      </c>
      <c r="D41" s="7" t="s">
        <v>160</v>
      </c>
      <c r="E41" s="8" t="n">
        <v>8</v>
      </c>
      <c r="F41" s="8" t="n">
        <v>18</v>
      </c>
      <c r="G41" s="8" t="n">
        <v>4.5</v>
      </c>
      <c r="H41" s="8" t="n">
        <v>0.8</v>
      </c>
      <c r="I41" s="8" t="n">
        <v>3</v>
      </c>
      <c r="J41" s="7" t="s">
        <v>51</v>
      </c>
      <c r="K41" s="7" t="s">
        <v>51</v>
      </c>
      <c r="L41" s="7" t="s">
        <v>50</v>
      </c>
      <c r="M41" s="6" t="s">
        <v>180</v>
      </c>
      <c r="N41" s="6" t="n">
        <v>40</v>
      </c>
      <c r="O41" s="7" t="s">
        <v>51</v>
      </c>
      <c r="P41" s="9" t="n">
        <f aca="false">IF(COUNT(G41:I41)&lt;3,"",G41*H41*I41)</f>
        <v>10.8</v>
      </c>
      <c r="Q41" s="10" t="n">
        <f aca="false">IF(OR(P41="",P41&lt;=3),"",E41/P41)</f>
        <v>0.740740740740741</v>
      </c>
    </row>
    <row r="42" customFormat="false" ht="15" hidden="false" customHeight="true" outlineLevel="0" collapsed="false">
      <c r="A42" s="6" t="s">
        <v>181</v>
      </c>
      <c r="B42" s="6" t="s">
        <v>182</v>
      </c>
      <c r="C42" s="7" t="s">
        <v>166</v>
      </c>
      <c r="D42" s="7" t="s">
        <v>79</v>
      </c>
      <c r="E42" s="8" t="n">
        <v>3.5</v>
      </c>
      <c r="F42" s="8" t="n">
        <v>15</v>
      </c>
      <c r="G42" s="8" t="n">
        <v>2</v>
      </c>
      <c r="H42" s="8" t="n">
        <v>1.5</v>
      </c>
      <c r="I42" s="8" t="n">
        <v>1.3</v>
      </c>
      <c r="J42" s="7" t="s">
        <v>50</v>
      </c>
      <c r="K42" s="7" t="s">
        <v>50</v>
      </c>
      <c r="L42" s="7" t="s">
        <v>50</v>
      </c>
      <c r="M42" s="6"/>
      <c r="N42" s="6" t="n">
        <v>41</v>
      </c>
      <c r="O42" s="7" t="s">
        <v>51</v>
      </c>
      <c r="P42" s="9" t="n">
        <f aca="false">IF(COUNT(G42:I42)&lt;3,"",G42*H42*I42)</f>
        <v>3.9</v>
      </c>
      <c r="Q42" s="10" t="n">
        <f aca="false">IF(OR(P42="",P42&lt;=3),"",E42/P42)</f>
        <v>0.897435897435897</v>
      </c>
    </row>
    <row r="43" customFormat="false" ht="15" hidden="false" customHeight="true" outlineLevel="0" collapsed="false">
      <c r="A43" s="6" t="s">
        <v>183</v>
      </c>
      <c r="B43" s="6" t="s">
        <v>184</v>
      </c>
      <c r="C43" s="7" t="s">
        <v>166</v>
      </c>
      <c r="D43" s="7" t="s">
        <v>185</v>
      </c>
      <c r="E43" s="8" t="n">
        <v>6</v>
      </c>
      <c r="F43" s="8" t="n">
        <v>25</v>
      </c>
      <c r="G43" s="8" t="n">
        <v>2</v>
      </c>
      <c r="H43" s="8" t="n">
        <v>1.5</v>
      </c>
      <c r="I43" s="8" t="n">
        <v>2</v>
      </c>
      <c r="J43" s="7" t="s">
        <v>50</v>
      </c>
      <c r="K43" s="7" t="s">
        <v>50</v>
      </c>
      <c r="L43" s="7" t="s">
        <v>50</v>
      </c>
      <c r="M43" s="6"/>
      <c r="N43" s="6" t="n">
        <v>42</v>
      </c>
      <c r="O43" s="7" t="s">
        <v>51</v>
      </c>
      <c r="P43" s="9" t="n">
        <f aca="false">IF(COUNT(G43:I43)&lt;3,"",G43*H43*I43)</f>
        <v>6</v>
      </c>
      <c r="Q43" s="10" t="n">
        <f aca="false">IF(OR(P43="",P43&lt;=3),"",E43/P43)</f>
        <v>1</v>
      </c>
    </row>
    <row r="44" customFormat="false" ht="15" hidden="false" customHeight="true" outlineLevel="0" collapsed="false">
      <c r="A44" s="6" t="s">
        <v>186</v>
      </c>
      <c r="B44" s="6" t="s">
        <v>187</v>
      </c>
      <c r="C44" s="7" t="s">
        <v>166</v>
      </c>
      <c r="D44" s="7" t="s">
        <v>72</v>
      </c>
      <c r="E44" s="8" t="n">
        <v>2.5</v>
      </c>
      <c r="F44" s="8" t="n">
        <v>12</v>
      </c>
      <c r="G44" s="8" t="n">
        <v>1.3</v>
      </c>
      <c r="H44" s="8" t="n">
        <v>1</v>
      </c>
      <c r="I44" s="8" t="n">
        <v>1.7</v>
      </c>
      <c r="J44" s="7" t="s">
        <v>50</v>
      </c>
      <c r="K44" s="7" t="s">
        <v>51</v>
      </c>
      <c r="L44" s="7" t="s">
        <v>50</v>
      </c>
      <c r="M44" s="6"/>
      <c r="N44" s="6" t="n">
        <v>43</v>
      </c>
      <c r="O44" s="7" t="s">
        <v>51</v>
      </c>
      <c r="P44" s="9" t="n">
        <f aca="false">IF(COUNT(G44:I44)&lt;3,"",G44*H44*I44)</f>
        <v>2.21</v>
      </c>
      <c r="Q44" s="10" t="str">
        <f aca="false">IF(OR(P44="",P44&lt;=3),"",E44/P44)</f>
        <v/>
      </c>
    </row>
    <row r="45" customFormat="false" ht="15" hidden="false" customHeight="true" outlineLevel="0" collapsed="false">
      <c r="A45" s="6" t="s">
        <v>188</v>
      </c>
      <c r="B45" s="6" t="s">
        <v>189</v>
      </c>
      <c r="C45" s="7" t="s">
        <v>166</v>
      </c>
      <c r="D45" s="7" t="s">
        <v>190</v>
      </c>
      <c r="E45" s="8" t="n">
        <v>14</v>
      </c>
      <c r="F45" s="8" t="n">
        <v>20</v>
      </c>
      <c r="G45" s="8" t="n">
        <v>2</v>
      </c>
      <c r="H45" s="8" t="n">
        <v>2</v>
      </c>
      <c r="I45" s="8" t="n">
        <v>3.5</v>
      </c>
      <c r="J45" s="7" t="s">
        <v>51</v>
      </c>
      <c r="K45" s="7" t="s">
        <v>50</v>
      </c>
      <c r="L45" s="7" t="s">
        <v>50</v>
      </c>
      <c r="M45" s="6"/>
      <c r="N45" s="6" t="n">
        <v>44</v>
      </c>
      <c r="O45" s="7" t="s">
        <v>51</v>
      </c>
      <c r="P45" s="9" t="n">
        <f aca="false">IF(COUNT(G45:I45)&lt;3,"",G45*H45*I45)</f>
        <v>14</v>
      </c>
      <c r="Q45" s="10" t="n">
        <f aca="false">IF(OR(P45="",P45&lt;=3),"",E45/P45)</f>
        <v>1</v>
      </c>
    </row>
    <row r="46" customFormat="false" ht="15" hidden="false" customHeight="true" outlineLevel="0" collapsed="false">
      <c r="A46" s="6" t="s">
        <v>191</v>
      </c>
      <c r="B46" s="6" t="s">
        <v>192</v>
      </c>
      <c r="C46" s="7" t="s">
        <v>166</v>
      </c>
      <c r="D46" s="7" t="s">
        <v>193</v>
      </c>
      <c r="E46" s="8" t="n">
        <v>4</v>
      </c>
      <c r="F46" s="8" t="n">
        <v>14</v>
      </c>
      <c r="G46" s="8" t="n">
        <v>1.5</v>
      </c>
      <c r="H46" s="8" t="n">
        <v>1.5</v>
      </c>
      <c r="I46" s="8" t="n">
        <v>2</v>
      </c>
      <c r="J46" s="7" t="s">
        <v>50</v>
      </c>
      <c r="K46" s="7" t="s">
        <v>50</v>
      </c>
      <c r="L46" s="7" t="s">
        <v>50</v>
      </c>
      <c r="M46" s="6"/>
      <c r="N46" s="6" t="n">
        <v>45</v>
      </c>
      <c r="O46" s="7" t="s">
        <v>51</v>
      </c>
      <c r="P46" s="9" t="n">
        <f aca="false">IF(COUNT(G46:I46)&lt;3,"",G46*H46*I46)</f>
        <v>4.5</v>
      </c>
      <c r="Q46" s="10" t="n">
        <f aca="false">IF(OR(P46="",P46&lt;=3),"",E46/P46)</f>
        <v>0.888888888888889</v>
      </c>
    </row>
    <row r="47" customFormat="false" ht="15" hidden="false" customHeight="true" outlineLevel="0" collapsed="false">
      <c r="A47" s="6" t="s">
        <v>194</v>
      </c>
      <c r="B47" s="6" t="s">
        <v>195</v>
      </c>
      <c r="C47" s="7" t="s">
        <v>196</v>
      </c>
      <c r="D47" s="7" t="s">
        <v>111</v>
      </c>
      <c r="E47" s="8" t="n">
        <v>2</v>
      </c>
      <c r="F47" s="8" t="n">
        <v>8</v>
      </c>
      <c r="G47" s="8" t="n">
        <v>1.3</v>
      </c>
      <c r="H47" s="8" t="n">
        <v>1.3</v>
      </c>
      <c r="I47" s="8" t="n">
        <v>1.3</v>
      </c>
      <c r="J47" s="7" t="s">
        <v>50</v>
      </c>
      <c r="K47" s="7" t="s">
        <v>50</v>
      </c>
      <c r="L47" s="7" t="s">
        <v>50</v>
      </c>
      <c r="M47" s="6" t="s">
        <v>197</v>
      </c>
      <c r="N47" s="6" t="n">
        <v>46</v>
      </c>
      <c r="O47" s="7" t="s">
        <v>51</v>
      </c>
      <c r="P47" s="9" t="n">
        <f aca="false">IF(COUNT(G47:I47)&lt;3,"",G47*H47*I47)</f>
        <v>2.197</v>
      </c>
      <c r="Q47" s="10" t="str">
        <f aca="false">IF(OR(P47="",P47&lt;=3),"",E47/P47)</f>
        <v/>
      </c>
    </row>
    <row r="48" customFormat="false" ht="15" hidden="false" customHeight="true" outlineLevel="0" collapsed="false">
      <c r="A48" s="6" t="s">
        <v>198</v>
      </c>
      <c r="B48" s="6" t="s">
        <v>195</v>
      </c>
      <c r="C48" s="7" t="s">
        <v>196</v>
      </c>
      <c r="D48" s="7" t="s">
        <v>111</v>
      </c>
      <c r="E48" s="8" t="n">
        <v>4</v>
      </c>
      <c r="F48" s="8" t="n">
        <v>15</v>
      </c>
      <c r="G48" s="8" t="n">
        <v>1.7</v>
      </c>
      <c r="H48" s="8" t="n">
        <v>1.7</v>
      </c>
      <c r="I48" s="8" t="n">
        <v>1.7</v>
      </c>
      <c r="J48" s="7" t="s">
        <v>50</v>
      </c>
      <c r="K48" s="7" t="s">
        <v>50</v>
      </c>
      <c r="L48" s="7" t="s">
        <v>50</v>
      </c>
      <c r="M48" s="6" t="s">
        <v>199</v>
      </c>
      <c r="N48" s="6" t="n">
        <v>47</v>
      </c>
      <c r="O48" s="7" t="s">
        <v>51</v>
      </c>
      <c r="P48" s="9" t="n">
        <f aca="false">IF(COUNT(G48:I48)&lt;3,"",G48*H48*I48)</f>
        <v>4.913</v>
      </c>
      <c r="Q48" s="10" t="n">
        <f aca="false">IF(OR(P48="",P48&lt;=3),"",E48/P48)</f>
        <v>0.814166497048647</v>
      </c>
    </row>
    <row r="49" customFormat="false" ht="15" hidden="false" customHeight="true" outlineLevel="0" collapsed="false">
      <c r="A49" s="6" t="s">
        <v>200</v>
      </c>
      <c r="B49" s="6" t="s">
        <v>195</v>
      </c>
      <c r="C49" s="7" t="s">
        <v>196</v>
      </c>
      <c r="D49" s="7" t="s">
        <v>111</v>
      </c>
      <c r="E49" s="8" t="n">
        <v>7</v>
      </c>
      <c r="F49" s="8" t="n">
        <v>22</v>
      </c>
      <c r="G49" s="8" t="n">
        <v>2</v>
      </c>
      <c r="H49" s="8" t="n">
        <v>2</v>
      </c>
      <c r="I49" s="8" t="n">
        <v>2</v>
      </c>
      <c r="J49" s="7" t="s">
        <v>50</v>
      </c>
      <c r="K49" s="7" t="s">
        <v>50</v>
      </c>
      <c r="L49" s="7" t="s">
        <v>50</v>
      </c>
      <c r="M49" s="6" t="s">
        <v>201</v>
      </c>
      <c r="N49" s="6" t="n">
        <v>48</v>
      </c>
      <c r="O49" s="7" t="s">
        <v>51</v>
      </c>
      <c r="P49" s="9" t="n">
        <f aca="false">IF(COUNT(G49:I49)&lt;3,"",G49*H49*I49)</f>
        <v>8</v>
      </c>
      <c r="Q49" s="10" t="n">
        <f aca="false">IF(OR(P49="",P49&lt;=3),"",E49/P49)</f>
        <v>0.875</v>
      </c>
    </row>
    <row r="50" customFormat="false" ht="15" hidden="false" customHeight="true" outlineLevel="0" collapsed="false">
      <c r="A50" s="6" t="s">
        <v>202</v>
      </c>
      <c r="B50" s="6" t="s">
        <v>203</v>
      </c>
      <c r="C50" s="7" t="s">
        <v>196</v>
      </c>
      <c r="D50" s="7" t="s">
        <v>204</v>
      </c>
      <c r="E50" s="8" t="n">
        <v>3.2</v>
      </c>
      <c r="F50" s="8" t="n">
        <v>18</v>
      </c>
      <c r="G50" s="8" t="n">
        <v>2.3</v>
      </c>
      <c r="H50" s="8" t="n">
        <v>1.5</v>
      </c>
      <c r="I50" s="8" t="n">
        <v>1</v>
      </c>
      <c r="J50" s="7" t="s">
        <v>50</v>
      </c>
      <c r="K50" s="7" t="s">
        <v>50</v>
      </c>
      <c r="L50" s="7" t="s">
        <v>50</v>
      </c>
      <c r="M50" s="6"/>
      <c r="N50" s="6" t="n">
        <v>49</v>
      </c>
      <c r="O50" s="7" t="s">
        <v>51</v>
      </c>
      <c r="P50" s="9" t="n">
        <f aca="false">IF(COUNT(G50:I50)&lt;3,"",G50*H50*I50)</f>
        <v>3.45</v>
      </c>
      <c r="Q50" s="10" t="n">
        <f aca="false">IF(OR(P50="",P50&lt;=3),"",E50/P50)</f>
        <v>0.927536231884058</v>
      </c>
    </row>
    <row r="51" customFormat="false" ht="15" hidden="false" customHeight="true" outlineLevel="0" collapsed="false">
      <c r="A51" s="6" t="s">
        <v>205</v>
      </c>
      <c r="B51" s="6" t="s">
        <v>206</v>
      </c>
      <c r="C51" s="7" t="s">
        <v>196</v>
      </c>
      <c r="D51" s="7" t="s">
        <v>207</v>
      </c>
      <c r="E51" s="8" t="n">
        <v>3</v>
      </c>
      <c r="F51" s="8" t="n">
        <v>12</v>
      </c>
      <c r="G51" s="8" t="n">
        <v>1.7</v>
      </c>
      <c r="H51" s="8" t="n">
        <v>1.2</v>
      </c>
      <c r="I51" s="8" t="n">
        <v>1.5</v>
      </c>
      <c r="J51" s="7" t="s">
        <v>50</v>
      </c>
      <c r="K51" s="7" t="s">
        <v>50</v>
      </c>
      <c r="L51" s="7" t="s">
        <v>50</v>
      </c>
      <c r="M51" s="6"/>
      <c r="N51" s="6" t="n">
        <v>50</v>
      </c>
      <c r="O51" s="7" t="s">
        <v>51</v>
      </c>
      <c r="P51" s="9" t="n">
        <f aca="false">IF(COUNT(G51:I51)&lt;3,"",G51*H51*I51)</f>
        <v>3.06</v>
      </c>
      <c r="Q51" s="10" t="n">
        <f aca="false">IF(OR(P51="",P51&lt;=3),"",E51/P51)</f>
        <v>0.980392156862745</v>
      </c>
    </row>
    <row r="52" customFormat="false" ht="15" hidden="false" customHeight="true" outlineLevel="0" collapsed="false">
      <c r="A52" s="6" t="s">
        <v>208</v>
      </c>
      <c r="B52" s="6" t="s">
        <v>209</v>
      </c>
      <c r="C52" s="7" t="s">
        <v>196</v>
      </c>
      <c r="D52" s="7" t="s">
        <v>210</v>
      </c>
      <c r="E52" s="8" t="n">
        <v>6</v>
      </c>
      <c r="F52" s="8" t="n">
        <v>25</v>
      </c>
      <c r="G52" s="8" t="n">
        <v>3</v>
      </c>
      <c r="H52" s="8" t="n">
        <v>1.7</v>
      </c>
      <c r="I52" s="8" t="n">
        <v>1.5</v>
      </c>
      <c r="J52" s="7" t="s">
        <v>50</v>
      </c>
      <c r="K52" s="7" t="s">
        <v>50</v>
      </c>
      <c r="L52" s="7" t="s">
        <v>50</v>
      </c>
      <c r="M52" s="6"/>
      <c r="N52" s="6" t="n">
        <v>51</v>
      </c>
      <c r="O52" s="7" t="s">
        <v>51</v>
      </c>
      <c r="P52" s="9" t="n">
        <f aca="false">IF(COUNT(G52:I52)&lt;3,"",G52*H52*I52)</f>
        <v>7.65</v>
      </c>
      <c r="Q52" s="10" t="n">
        <f aca="false">IF(OR(P52="",P52&lt;=3),"",E52/P52)</f>
        <v>0.784313725490196</v>
      </c>
    </row>
    <row r="53" customFormat="false" ht="15" hidden="false" customHeight="true" outlineLevel="0" collapsed="false">
      <c r="A53" s="6" t="s">
        <v>211</v>
      </c>
      <c r="B53" s="6" t="s">
        <v>212</v>
      </c>
      <c r="C53" s="7" t="s">
        <v>196</v>
      </c>
      <c r="D53" s="7" t="s">
        <v>213</v>
      </c>
      <c r="E53" s="8" t="n">
        <v>3</v>
      </c>
      <c r="F53" s="8" t="n">
        <v>10</v>
      </c>
      <c r="G53" s="8" t="n">
        <v>1.3</v>
      </c>
      <c r="H53" s="8" t="n">
        <v>1.3</v>
      </c>
      <c r="I53" s="8" t="n">
        <v>2.5</v>
      </c>
      <c r="J53" s="7" t="s">
        <v>50</v>
      </c>
      <c r="K53" s="7" t="s">
        <v>51</v>
      </c>
      <c r="L53" s="7" t="s">
        <v>50</v>
      </c>
      <c r="M53" s="6"/>
      <c r="N53" s="6" t="n">
        <v>52</v>
      </c>
      <c r="O53" s="7" t="s">
        <v>51</v>
      </c>
      <c r="P53" s="9" t="n">
        <f aca="false">IF(COUNT(G53:I53)&lt;3,"",G53*H53*I53)</f>
        <v>4.225</v>
      </c>
      <c r="Q53" s="10" t="n">
        <f aca="false">IF(OR(P53="",P53&lt;=3),"",E53/P53)</f>
        <v>0.710059171597633</v>
      </c>
    </row>
    <row r="54" customFormat="false" ht="15" hidden="false" customHeight="true" outlineLevel="0" collapsed="false">
      <c r="A54" s="6" t="s">
        <v>214</v>
      </c>
      <c r="B54" s="6" t="s">
        <v>215</v>
      </c>
      <c r="C54" s="7" t="s">
        <v>196</v>
      </c>
      <c r="D54" s="7" t="s">
        <v>216</v>
      </c>
      <c r="E54" s="8" t="n">
        <v>10</v>
      </c>
      <c r="F54" s="8" t="n">
        <v>15</v>
      </c>
      <c r="G54" s="8" t="n">
        <v>6</v>
      </c>
      <c r="H54" s="8" t="n">
        <v>1.5</v>
      </c>
      <c r="I54" s="8" t="n">
        <v>3.5</v>
      </c>
      <c r="J54" s="7" t="s">
        <v>51</v>
      </c>
      <c r="K54" s="7" t="s">
        <v>50</v>
      </c>
      <c r="L54" s="7" t="s">
        <v>50</v>
      </c>
      <c r="M54" s="6"/>
      <c r="N54" s="6" t="n">
        <v>53</v>
      </c>
      <c r="O54" s="7" t="s">
        <v>51</v>
      </c>
      <c r="P54" s="9" t="n">
        <f aca="false">IF(COUNT(G54:I54)&lt;3,"",G54*H54*I54)</f>
        <v>31.5</v>
      </c>
      <c r="Q54" s="10" t="n">
        <f aca="false">IF(OR(P54="",P54&lt;=3),"",E54/P54)</f>
        <v>0.317460317460317</v>
      </c>
    </row>
    <row r="55" customFormat="false" ht="15" hidden="false" customHeight="true" outlineLevel="0" collapsed="false">
      <c r="A55" s="6" t="s">
        <v>217</v>
      </c>
      <c r="B55" s="6" t="s">
        <v>218</v>
      </c>
      <c r="C55" s="7" t="s">
        <v>219</v>
      </c>
      <c r="D55" s="7" t="s">
        <v>220</v>
      </c>
      <c r="E55" s="8" t="n">
        <v>110</v>
      </c>
      <c r="F55" s="8" t="n">
        <v>320</v>
      </c>
      <c r="G55" s="8"/>
      <c r="H55" s="8"/>
      <c r="I55" s="8"/>
      <c r="J55" s="7" t="s">
        <v>51</v>
      </c>
      <c r="K55" s="7" t="s">
        <v>50</v>
      </c>
      <c r="L55" s="7" t="s">
        <v>51</v>
      </c>
      <c r="M55" s="6" t="s">
        <v>221</v>
      </c>
      <c r="N55" s="6" t="n">
        <v>54</v>
      </c>
      <c r="O55" s="7" t="s">
        <v>51</v>
      </c>
      <c r="P55" s="9" t="str">
        <f aca="false">IF(COUNT(G55:I55)&lt;3,"",G55*H55*I55)</f>
        <v/>
      </c>
      <c r="Q55" s="10" t="str">
        <f aca="false">IF(OR(P55="",P55&lt;=3),"",E55/P55)</f>
        <v/>
      </c>
    </row>
    <row r="56" customFormat="false" ht="15" hidden="false" customHeight="true" outlineLevel="0" collapsed="false">
      <c r="A56" s="6" t="s">
        <v>222</v>
      </c>
      <c r="B56" s="6" t="s">
        <v>223</v>
      </c>
      <c r="C56" s="7" t="s">
        <v>219</v>
      </c>
      <c r="D56" s="7" t="s">
        <v>220</v>
      </c>
      <c r="E56" s="8" t="n">
        <v>175</v>
      </c>
      <c r="F56" s="8" t="n">
        <v>520</v>
      </c>
      <c r="G56" s="8"/>
      <c r="H56" s="8"/>
      <c r="I56" s="8"/>
      <c r="J56" s="7" t="s">
        <v>51</v>
      </c>
      <c r="K56" s="7" t="s">
        <v>50</v>
      </c>
      <c r="L56" s="7" t="s">
        <v>51</v>
      </c>
      <c r="M56" s="6" t="s">
        <v>224</v>
      </c>
      <c r="N56" s="6" t="n">
        <v>55</v>
      </c>
      <c r="O56" s="7" t="s">
        <v>51</v>
      </c>
      <c r="P56" s="9" t="str">
        <f aca="false">IF(COUNT(G56:I56)&lt;3,"",G56*H56*I56)</f>
        <v/>
      </c>
      <c r="Q56" s="10" t="str">
        <f aca="false">IF(OR(P56="",P56&lt;=3),"",E56/P56)</f>
        <v/>
      </c>
    </row>
    <row r="57" customFormat="false" ht="15" hidden="false" customHeight="true" outlineLevel="0" collapsed="false">
      <c r="A57" s="6" t="s">
        <v>225</v>
      </c>
      <c r="B57" s="6" t="s">
        <v>226</v>
      </c>
      <c r="C57" s="7" t="s">
        <v>219</v>
      </c>
      <c r="D57" s="7" t="s">
        <v>227</v>
      </c>
      <c r="E57" s="8" t="n">
        <v>300</v>
      </c>
      <c r="F57" s="8" t="n">
        <v>900</v>
      </c>
      <c r="G57" s="8"/>
      <c r="H57" s="8"/>
      <c r="I57" s="8"/>
      <c r="J57" s="7" t="s">
        <v>51</v>
      </c>
      <c r="K57" s="7" t="s">
        <v>50</v>
      </c>
      <c r="L57" s="7" t="s">
        <v>51</v>
      </c>
      <c r="M57" s="6" t="s">
        <v>228</v>
      </c>
      <c r="N57" s="6" t="n">
        <v>56</v>
      </c>
      <c r="O57" s="7" t="s">
        <v>51</v>
      </c>
      <c r="P57" s="9" t="str">
        <f aca="false">IF(COUNT(G57:I57)&lt;3,"",G57*H57*I57)</f>
        <v/>
      </c>
      <c r="Q57" s="10" t="str">
        <f aca="false">IF(OR(P57="",P57&lt;=3),"",E57/P57)</f>
        <v/>
      </c>
    </row>
    <row r="58" customFormat="false" ht="15" hidden="false" customHeight="true" outlineLevel="0" collapsed="false">
      <c r="A58" s="6" t="s">
        <v>229</v>
      </c>
      <c r="B58" s="6" t="s">
        <v>230</v>
      </c>
      <c r="C58" s="7" t="s">
        <v>219</v>
      </c>
      <c r="D58" s="7" t="s">
        <v>231</v>
      </c>
      <c r="E58" s="8" t="n">
        <v>450</v>
      </c>
      <c r="F58" s="8" t="n">
        <v>1350</v>
      </c>
      <c r="G58" s="8"/>
      <c r="H58" s="8"/>
      <c r="I58" s="8"/>
      <c r="J58" s="7" t="s">
        <v>51</v>
      </c>
      <c r="K58" s="7" t="s">
        <v>50</v>
      </c>
      <c r="L58" s="7" t="s">
        <v>51</v>
      </c>
      <c r="M58" s="6" t="s">
        <v>232</v>
      </c>
      <c r="N58" s="6" t="n">
        <v>57</v>
      </c>
      <c r="O58" s="7" t="s">
        <v>51</v>
      </c>
      <c r="P58" s="9" t="str">
        <f aca="false">IF(COUNT(G58:I58)&lt;3,"",G58*H58*I58)</f>
        <v/>
      </c>
      <c r="Q58" s="10" t="str">
        <f aca="false">IF(OR(P58="",P58&lt;=3),"",E58/P58)</f>
        <v/>
      </c>
    </row>
    <row r="59" customFormat="false" ht="15" hidden="false" customHeight="true" outlineLevel="0" collapsed="false">
      <c r="A59" s="6" t="s">
        <v>233</v>
      </c>
      <c r="B59" s="6" t="s">
        <v>234</v>
      </c>
      <c r="C59" s="7" t="s">
        <v>219</v>
      </c>
      <c r="D59" s="7" t="s">
        <v>235</v>
      </c>
      <c r="E59" s="8" t="n">
        <v>620</v>
      </c>
      <c r="F59" s="8" t="n">
        <v>1900</v>
      </c>
      <c r="G59" s="8"/>
      <c r="H59" s="8"/>
      <c r="I59" s="8"/>
      <c r="J59" s="7" t="s">
        <v>51</v>
      </c>
      <c r="K59" s="7" t="s">
        <v>50</v>
      </c>
      <c r="L59" s="7" t="s">
        <v>51</v>
      </c>
      <c r="M59" s="6" t="s">
        <v>236</v>
      </c>
      <c r="N59" s="6" t="n">
        <v>58</v>
      </c>
      <c r="O59" s="7" t="s">
        <v>51</v>
      </c>
      <c r="P59" s="9" t="str">
        <f aca="false">IF(COUNT(G59:I59)&lt;3,"",G59*H59*I59)</f>
        <v/>
      </c>
      <c r="Q59" s="10" t="str">
        <f aca="false">IF(OR(P59="",P59&lt;=3),"",E59/P59)</f>
        <v/>
      </c>
    </row>
    <row r="60" customFormat="false" ht="15" hidden="false" customHeight="true" outlineLevel="0" collapsed="false">
      <c r="A60" s="6" t="s">
        <v>237</v>
      </c>
      <c r="B60" s="6" t="s">
        <v>238</v>
      </c>
      <c r="C60" s="7" t="s">
        <v>239</v>
      </c>
      <c r="D60" s="7" t="s">
        <v>240</v>
      </c>
      <c r="E60" s="8" t="n">
        <v>20</v>
      </c>
      <c r="F60" s="8" t="n">
        <v>35</v>
      </c>
      <c r="G60" s="8" t="n">
        <v>5</v>
      </c>
      <c r="H60" s="8" t="n">
        <v>2.5</v>
      </c>
      <c r="I60" s="8" t="n">
        <v>2.5</v>
      </c>
      <c r="J60" s="7" t="s">
        <v>51</v>
      </c>
      <c r="K60" s="7" t="s">
        <v>50</v>
      </c>
      <c r="L60" s="7" t="s">
        <v>50</v>
      </c>
      <c r="M60" s="6"/>
      <c r="N60" s="6" t="n">
        <v>59</v>
      </c>
      <c r="O60" s="7" t="s">
        <v>51</v>
      </c>
      <c r="P60" s="9" t="n">
        <f aca="false">IF(COUNT(G60:I60)&lt;3,"",G60*H60*I60)</f>
        <v>31.25</v>
      </c>
      <c r="Q60" s="10" t="n">
        <f aca="false">IF(OR(P60="",P60&lt;=3),"",E60/P60)</f>
        <v>0.64</v>
      </c>
    </row>
    <row r="61" customFormat="false" ht="15" hidden="false" customHeight="true" outlineLevel="0" collapsed="false">
      <c r="A61" s="6" t="s">
        <v>241</v>
      </c>
      <c r="B61" s="6" t="s">
        <v>242</v>
      </c>
      <c r="C61" s="7" t="s">
        <v>239</v>
      </c>
      <c r="D61" s="7" t="s">
        <v>243</v>
      </c>
      <c r="E61" s="8" t="n">
        <v>8</v>
      </c>
      <c r="F61" s="8" t="n">
        <v>12</v>
      </c>
      <c r="G61" s="8" t="n">
        <v>2</v>
      </c>
      <c r="H61" s="8" t="n">
        <v>2</v>
      </c>
      <c r="I61" s="8" t="n">
        <v>3.5</v>
      </c>
      <c r="J61" s="7" t="s">
        <v>50</v>
      </c>
      <c r="K61" s="7" t="s">
        <v>50</v>
      </c>
      <c r="L61" s="7" t="s">
        <v>50</v>
      </c>
      <c r="M61" s="6"/>
      <c r="N61" s="6" t="n">
        <v>60</v>
      </c>
      <c r="O61" s="7" t="s">
        <v>51</v>
      </c>
      <c r="P61" s="9" t="n">
        <f aca="false">IF(COUNT(G61:I61)&lt;3,"",G61*H61*I61)</f>
        <v>14</v>
      </c>
      <c r="Q61" s="10" t="n">
        <f aca="false">IF(OR(P61="",P61&lt;=3),"",E61/P61)</f>
        <v>0.571428571428571</v>
      </c>
    </row>
    <row r="62" customFormat="false" ht="15" hidden="false" customHeight="true" outlineLevel="0" collapsed="false">
      <c r="A62" s="6" t="s">
        <v>244</v>
      </c>
      <c r="B62" s="6" t="s">
        <v>245</v>
      </c>
      <c r="C62" s="7" t="s">
        <v>239</v>
      </c>
      <c r="D62" s="7" t="s">
        <v>246</v>
      </c>
      <c r="E62" s="8" t="n">
        <v>11</v>
      </c>
      <c r="F62" s="8" t="n">
        <v>45</v>
      </c>
      <c r="G62" s="8" t="n">
        <v>1.5</v>
      </c>
      <c r="H62" s="8" t="n">
        <v>2</v>
      </c>
      <c r="I62" s="8" t="n">
        <v>4</v>
      </c>
      <c r="J62" s="7" t="s">
        <v>51</v>
      </c>
      <c r="K62" s="7" t="s">
        <v>50</v>
      </c>
      <c r="L62" s="7" t="s">
        <v>50</v>
      </c>
      <c r="M62" s="6"/>
      <c r="N62" s="6" t="n">
        <v>61</v>
      </c>
      <c r="O62" s="7" t="s">
        <v>51</v>
      </c>
      <c r="P62" s="9" t="n">
        <f aca="false">IF(COUNT(G62:I62)&lt;3,"",G62*H62*I62)</f>
        <v>12</v>
      </c>
      <c r="Q62" s="10" t="n">
        <f aca="false">IF(OR(P62="",P62&lt;=3),"",E62/P62)</f>
        <v>0.916666666666667</v>
      </c>
    </row>
    <row r="63" customFormat="false" ht="15" hidden="false" customHeight="true" outlineLevel="0" collapsed="false">
      <c r="A63" s="6" t="s">
        <v>247</v>
      </c>
      <c r="B63" s="6" t="s">
        <v>248</v>
      </c>
      <c r="C63" s="7" t="s">
        <v>239</v>
      </c>
      <c r="D63" s="7" t="s">
        <v>249</v>
      </c>
      <c r="E63" s="8" t="n">
        <v>3</v>
      </c>
      <c r="F63" s="8" t="n">
        <v>12</v>
      </c>
      <c r="G63" s="8" t="n">
        <v>2</v>
      </c>
      <c r="H63" s="8" t="n">
        <v>1</v>
      </c>
      <c r="I63" s="8" t="n">
        <v>1.7</v>
      </c>
      <c r="J63" s="7" t="s">
        <v>50</v>
      </c>
      <c r="K63" s="7" t="s">
        <v>51</v>
      </c>
      <c r="L63" s="7" t="s">
        <v>50</v>
      </c>
      <c r="M63" s="6"/>
      <c r="N63" s="6" t="n">
        <v>62</v>
      </c>
      <c r="O63" s="7" t="s">
        <v>51</v>
      </c>
      <c r="P63" s="9" t="n">
        <f aca="false">IF(COUNT(G63:I63)&lt;3,"",G63*H63*I63)</f>
        <v>3.4</v>
      </c>
      <c r="Q63" s="10" t="n">
        <f aca="false">IF(OR(P63="",P63&lt;=3),"",E63/P63)</f>
        <v>0.882352941176471</v>
      </c>
    </row>
    <row r="64" customFormat="false" ht="15" hidden="false" customHeight="true" outlineLevel="0" collapsed="false">
      <c r="A64" s="6" t="s">
        <v>250</v>
      </c>
      <c r="B64" s="6" t="s">
        <v>251</v>
      </c>
      <c r="C64" s="7" t="s">
        <v>239</v>
      </c>
      <c r="D64" s="7" t="s">
        <v>252</v>
      </c>
      <c r="E64" s="8" t="n">
        <v>5</v>
      </c>
      <c r="F64" s="8" t="n">
        <v>20</v>
      </c>
      <c r="G64" s="8" t="n">
        <v>2</v>
      </c>
      <c r="H64" s="8" t="n">
        <v>1.7</v>
      </c>
      <c r="I64" s="8" t="n">
        <v>1.5</v>
      </c>
      <c r="J64" s="7" t="s">
        <v>50</v>
      </c>
      <c r="K64" s="7" t="s">
        <v>51</v>
      </c>
      <c r="L64" s="7" t="s">
        <v>50</v>
      </c>
      <c r="M64" s="6"/>
      <c r="N64" s="6" t="n">
        <v>63</v>
      </c>
      <c r="O64" s="7" t="s">
        <v>51</v>
      </c>
      <c r="P64" s="9" t="n">
        <f aca="false">IF(COUNT(G64:I64)&lt;3,"",G64*H64*I64)</f>
        <v>5.1</v>
      </c>
      <c r="Q64" s="10" t="n">
        <f aca="false">IF(OR(P64="",P64&lt;=3),"",E64/P64)</f>
        <v>0.980392156862745</v>
      </c>
    </row>
    <row r="65" customFormat="false" ht="15" hidden="false" customHeight="true" outlineLevel="0" collapsed="false">
      <c r="A65" s="6" t="s">
        <v>253</v>
      </c>
      <c r="B65" s="6" t="s">
        <v>254</v>
      </c>
      <c r="C65" s="7" t="s">
        <v>239</v>
      </c>
      <c r="D65" s="7" t="s">
        <v>139</v>
      </c>
      <c r="E65" s="8" t="n">
        <v>24</v>
      </c>
      <c r="F65" s="8" t="n">
        <v>110</v>
      </c>
      <c r="G65" s="8" t="n">
        <v>2.5</v>
      </c>
      <c r="H65" s="8" t="n">
        <v>3</v>
      </c>
      <c r="I65" s="8" t="n">
        <v>6</v>
      </c>
      <c r="J65" s="7" t="s">
        <v>51</v>
      </c>
      <c r="K65" s="7" t="s">
        <v>51</v>
      </c>
      <c r="L65" s="7" t="s">
        <v>50</v>
      </c>
      <c r="M65" s="6"/>
      <c r="N65" s="6" t="n">
        <v>64</v>
      </c>
      <c r="O65" s="7" t="s">
        <v>51</v>
      </c>
      <c r="P65" s="9" t="n">
        <f aca="false">IF(COUNT(G65:I65)&lt;3,"",G65*H65*I65)</f>
        <v>45</v>
      </c>
      <c r="Q65" s="10" t="n">
        <f aca="false">IF(OR(P65="",P65&lt;=3),"",E65/P65)</f>
        <v>0.533333333333333</v>
      </c>
    </row>
    <row r="66" customFormat="false" ht="15" hidden="false" customHeight="true" outlineLevel="0" collapsed="false">
      <c r="A66" s="6" t="s">
        <v>255</v>
      </c>
      <c r="B66" s="6" t="s">
        <v>256</v>
      </c>
      <c r="C66" s="7" t="s">
        <v>239</v>
      </c>
      <c r="D66" s="7" t="s">
        <v>257</v>
      </c>
      <c r="E66" s="8" t="n">
        <v>22</v>
      </c>
      <c r="F66" s="8" t="n">
        <v>40</v>
      </c>
      <c r="G66" s="8" t="n">
        <v>4</v>
      </c>
      <c r="H66" s="8" t="n">
        <v>1.5</v>
      </c>
      <c r="I66" s="8" t="n">
        <v>6</v>
      </c>
      <c r="J66" s="7" t="s">
        <v>51</v>
      </c>
      <c r="K66" s="7" t="s">
        <v>50</v>
      </c>
      <c r="L66" s="7" t="s">
        <v>50</v>
      </c>
      <c r="M66" s="6"/>
      <c r="N66" s="6" t="n">
        <v>65</v>
      </c>
      <c r="O66" s="7" t="s">
        <v>51</v>
      </c>
      <c r="P66" s="9" t="n">
        <f aca="false">IF(COUNT(G66:I66)&lt;3,"",G66*H66*I66)</f>
        <v>36</v>
      </c>
      <c r="Q66" s="10" t="n">
        <f aca="false">IF(OR(P66="",P66&lt;=3),"",E66/P66)</f>
        <v>0.611111111111111</v>
      </c>
    </row>
    <row r="67" customFormat="false" ht="15" hidden="false" customHeight="true" outlineLevel="0" collapsed="false">
      <c r="A67" s="6" t="s">
        <v>258</v>
      </c>
      <c r="B67" s="6" t="s">
        <v>259</v>
      </c>
      <c r="C67" s="7" t="s">
        <v>239</v>
      </c>
      <c r="D67" s="7" t="s">
        <v>260</v>
      </c>
      <c r="E67" s="8" t="n">
        <v>25</v>
      </c>
      <c r="F67" s="8" t="n">
        <v>55</v>
      </c>
      <c r="G67" s="8" t="n">
        <v>6</v>
      </c>
      <c r="H67" s="8" t="n">
        <v>2</v>
      </c>
      <c r="I67" s="8" t="n">
        <v>3.5</v>
      </c>
      <c r="J67" s="7" t="s">
        <v>51</v>
      </c>
      <c r="K67" s="7" t="s">
        <v>50</v>
      </c>
      <c r="L67" s="7" t="s">
        <v>50</v>
      </c>
      <c r="M67" s="6"/>
      <c r="N67" s="6" t="n">
        <v>66</v>
      </c>
      <c r="O67" s="7" t="s">
        <v>51</v>
      </c>
      <c r="P67" s="9" t="n">
        <f aca="false">IF(COUNT(G67:I67)&lt;3,"",G67*H67*I67)</f>
        <v>42</v>
      </c>
      <c r="Q67" s="10" t="n">
        <f aca="false">IF(OR(P67="",P67&lt;=3),"",E67/P67)</f>
        <v>0.595238095238095</v>
      </c>
    </row>
    <row r="68" customFormat="false" ht="15" hidden="false" customHeight="true" outlineLevel="0" collapsed="false">
      <c r="A68" s="6" t="s">
        <v>261</v>
      </c>
      <c r="B68" s="6" t="s">
        <v>262</v>
      </c>
      <c r="C68" s="7" t="s">
        <v>239</v>
      </c>
      <c r="D68" s="7" t="s">
        <v>111</v>
      </c>
      <c r="E68" s="8" t="n">
        <v>4</v>
      </c>
      <c r="F68" s="8" t="n">
        <v>18</v>
      </c>
      <c r="G68" s="8" t="n">
        <v>1.7</v>
      </c>
      <c r="H68" s="8" t="n">
        <v>1.7</v>
      </c>
      <c r="I68" s="8" t="n">
        <v>1.7</v>
      </c>
      <c r="J68" s="7" t="s">
        <v>50</v>
      </c>
      <c r="K68" s="7" t="s">
        <v>50</v>
      </c>
      <c r="L68" s="7" t="s">
        <v>50</v>
      </c>
      <c r="M68" s="6"/>
      <c r="N68" s="6" t="n">
        <v>67</v>
      </c>
      <c r="O68" s="7" t="s">
        <v>51</v>
      </c>
      <c r="P68" s="9" t="n">
        <f aca="false">IF(COUNT(G68:I68)&lt;3,"",G68*H68*I68)</f>
        <v>4.913</v>
      </c>
      <c r="Q68" s="10" t="n">
        <f aca="false">IF(OR(P68="",P68&lt;=3),"",E68/P68)</f>
        <v>0.814166497048647</v>
      </c>
    </row>
    <row r="69" customFormat="false" ht="15" hidden="false" customHeight="true" outlineLevel="0" collapsed="false">
      <c r="A69" s="6" t="s">
        <v>263</v>
      </c>
      <c r="B69" s="6" t="s">
        <v>264</v>
      </c>
      <c r="C69" s="7" t="s">
        <v>239</v>
      </c>
      <c r="D69" s="7" t="s">
        <v>265</v>
      </c>
      <c r="E69" s="8" t="n">
        <v>3</v>
      </c>
      <c r="F69" s="8" t="n">
        <v>30</v>
      </c>
      <c r="G69" s="8" t="n">
        <v>2.5</v>
      </c>
      <c r="H69" s="8" t="n">
        <v>1.5</v>
      </c>
      <c r="I69" s="8" t="n">
        <v>1</v>
      </c>
      <c r="J69" s="7" t="s">
        <v>50</v>
      </c>
      <c r="K69" s="7" t="s">
        <v>50</v>
      </c>
      <c r="L69" s="7" t="s">
        <v>50</v>
      </c>
      <c r="M69" s="6"/>
      <c r="N69" s="6" t="n">
        <v>68</v>
      </c>
      <c r="O69" s="7" t="s">
        <v>51</v>
      </c>
      <c r="P69" s="9" t="n">
        <f aca="false">IF(COUNT(G69:I69)&lt;3,"",G69*H69*I69)</f>
        <v>3.75</v>
      </c>
      <c r="Q69" s="10" t="n">
        <f aca="false">IF(OR(P69="",P69&lt;=3),"",E69/P69)</f>
        <v>0.8</v>
      </c>
    </row>
    <row r="70" customFormat="false" ht="15" hidden="false" customHeight="true" outlineLevel="0" collapsed="false">
      <c r="A70" s="6" t="s">
        <v>266</v>
      </c>
      <c r="B70" s="6" t="s">
        <v>267</v>
      </c>
      <c r="C70" s="7" t="s">
        <v>239</v>
      </c>
      <c r="D70" s="7" t="s">
        <v>268</v>
      </c>
      <c r="E70" s="8" t="n">
        <v>9</v>
      </c>
      <c r="F70" s="8" t="n">
        <v>60</v>
      </c>
      <c r="G70" s="8" t="n">
        <v>2</v>
      </c>
      <c r="H70" s="8" t="n">
        <v>2</v>
      </c>
      <c r="I70" s="8" t="n">
        <v>3</v>
      </c>
      <c r="J70" s="7" t="s">
        <v>51</v>
      </c>
      <c r="K70" s="7" t="s">
        <v>50</v>
      </c>
      <c r="L70" s="7" t="s">
        <v>50</v>
      </c>
      <c r="M70" s="6"/>
      <c r="N70" s="6" t="n">
        <v>69</v>
      </c>
      <c r="O70" s="7" t="s">
        <v>51</v>
      </c>
      <c r="P70" s="9" t="n">
        <f aca="false">IF(COUNT(G70:I70)&lt;3,"",G70*H70*I70)</f>
        <v>12</v>
      </c>
      <c r="Q70" s="10" t="n">
        <f aca="false">IF(OR(P70="",P70&lt;=3),"",E70/P70)</f>
        <v>0.75</v>
      </c>
    </row>
    <row r="71" customFormat="false" ht="15" hidden="false" customHeight="true" outlineLevel="0" collapsed="false">
      <c r="A71" s="6" t="s">
        <v>269</v>
      </c>
      <c r="B71" s="6" t="s">
        <v>270</v>
      </c>
      <c r="C71" s="7" t="s">
        <v>239</v>
      </c>
      <c r="D71" s="7" t="s">
        <v>271</v>
      </c>
      <c r="E71" s="8" t="n">
        <v>30</v>
      </c>
      <c r="F71" s="8" t="n">
        <v>250</v>
      </c>
      <c r="G71" s="8" t="n">
        <v>4</v>
      </c>
      <c r="H71" s="8" t="n">
        <v>4</v>
      </c>
      <c r="I71" s="8" t="n">
        <v>4</v>
      </c>
      <c r="J71" s="7" t="s">
        <v>51</v>
      </c>
      <c r="K71" s="7" t="s">
        <v>50</v>
      </c>
      <c r="L71" s="7" t="s">
        <v>50</v>
      </c>
      <c r="M71" s="6"/>
      <c r="N71" s="6" t="n">
        <v>70</v>
      </c>
      <c r="O71" s="7" t="s">
        <v>51</v>
      </c>
      <c r="P71" s="9" t="n">
        <f aca="false">IF(COUNT(G71:I71)&lt;3,"",G71*H71*I71)</f>
        <v>64</v>
      </c>
      <c r="Q71" s="10" t="n">
        <f aca="false">IF(OR(P71="",P71&lt;=3),"",E71/P71)</f>
        <v>0.46875</v>
      </c>
    </row>
  </sheetData>
  <conditionalFormatting sqref="Q2:Q71">
    <cfRule type="cellIs" priority="2" operator="greaterThan" aboveAverage="0" equalAverage="0" bottom="0" percent="0" rank="0" text="" dxfId="0">
      <formula>1</formula>
    </cfRule>
  </conditionalFormatting>
  <dataValidations count="5">
    <dataValidation allowBlank="false" errorStyle="stop" operator="between" showDropDown="false" showErrorMessage="false" showInputMessage="false" sqref="J2:J71" type="list">
      <formula1>"true,false"</formula1>
      <formula2>0</formula2>
    </dataValidation>
    <dataValidation allowBlank="false" errorStyle="stop" operator="between" showDropDown="false" showErrorMessage="false" showInputMessage="false" sqref="K2:K71" type="list">
      <formula1>"true,false"</formula1>
      <formula2>0</formula2>
    </dataValidation>
    <dataValidation allowBlank="false" errorStyle="stop" operator="between" showDropDown="false" showErrorMessage="false" showInputMessage="false" sqref="L2:L71" type="list">
      <formula1>"true,false"</formula1>
      <formula2>0</formula2>
    </dataValidation>
    <dataValidation allowBlank="false" errorStyle="stop" operator="between" showDropDown="false" showErrorMessage="false" showInputMessage="false" sqref="O2:O71" type="list">
      <formula1>"true,false"</formula1>
      <formula2>0</formula2>
    </dataValidation>
    <dataValidation allowBlank="false" errorStyle="stop" operator="between" showDropDown="false" showErrorMessage="false" showInputMessage="false" sqref="C2:C71" type="list">
      <formula1>"food,small_items,furniture,appliances,boxes,full_house,business"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5"/>
    <col collapsed="false" customWidth="true" hidden="false" outlineLevel="0" max="7" min="7" style="1" width="14"/>
    <col collapsed="false" customWidth="true" hidden="false" outlineLevel="0" max="8" min="8" style="1" width="15"/>
    <col collapsed="false" customWidth="true" hidden="false" outlineLevel="0" max="9" min="9" style="1" width="13"/>
  </cols>
  <sheetData>
    <row r="2" customFormat="false" ht="17.25" hidden="false" customHeight="true" outlineLevel="0" collapsed="false">
      <c r="B2" s="2" t="s">
        <v>272</v>
      </c>
    </row>
    <row r="4" customFormat="false" ht="15" hidden="false" customHeight="true" outlineLevel="0" collapsed="false">
      <c r="B4" s="3" t="s">
        <v>273</v>
      </c>
    </row>
    <row r="5" customFormat="false" ht="15" hidden="false" customHeight="true" outlineLevel="0" collapsed="false">
      <c r="B5" s="3" t="s">
        <v>274</v>
      </c>
    </row>
    <row r="6" customFormat="false" ht="15" hidden="false" customHeight="true" outlineLevel="0" collapsed="false">
      <c r="B6" s="3"/>
    </row>
    <row r="7" customFormat="false" ht="15" hidden="false" customHeight="true" outlineLevel="0" collapsed="false">
      <c r="B7" s="3" t="s">
        <v>275</v>
      </c>
    </row>
    <row r="8" customFormat="false" ht="15" hidden="false" customHeight="true" outlineLevel="0" collapsed="false">
      <c r="B8" s="3" t="s">
        <v>276</v>
      </c>
    </row>
    <row r="9" customFormat="false" ht="15" hidden="false" customHeight="true" outlineLevel="0" collapsed="false">
      <c r="B9" s="3"/>
    </row>
    <row r="10" customFormat="false" ht="15" hidden="false" customHeight="true" outlineLevel="0" collapsed="false">
      <c r="B10" s="3" t="s">
        <v>277</v>
      </c>
    </row>
    <row r="12" customFormat="false" ht="15" hidden="false" customHeight="true" outlineLevel="0" collapsed="false">
      <c r="B12" s="11" t="s">
        <v>278</v>
      </c>
      <c r="C12" s="11" t="s">
        <v>30</v>
      </c>
      <c r="D12" s="11" t="s">
        <v>279</v>
      </c>
      <c r="E12" s="11" t="s">
        <v>280</v>
      </c>
      <c r="F12" s="11" t="s">
        <v>281</v>
      </c>
      <c r="G12" s="11" t="s">
        <v>282</v>
      </c>
      <c r="H12" s="11" t="s">
        <v>283</v>
      </c>
      <c r="I12" s="11" t="s">
        <v>284</v>
      </c>
    </row>
    <row r="13" customFormat="false" ht="15" hidden="false" customHeight="true" outlineLevel="0" collapsed="false">
      <c r="B13" s="12" t="n">
        <v>3</v>
      </c>
      <c r="C13" s="12" t="s">
        <v>285</v>
      </c>
      <c r="D13" s="12" t="n">
        <v>750</v>
      </c>
      <c r="E13" s="12" t="n">
        <v>80</v>
      </c>
      <c r="F13" s="12" t="n">
        <v>7</v>
      </c>
      <c r="G13" s="12" t="n">
        <v>4.5</v>
      </c>
      <c r="H13" s="12" t="n">
        <v>4.5</v>
      </c>
      <c r="I13" s="12" t="s">
        <v>51</v>
      </c>
    </row>
    <row r="14" customFormat="false" ht="15" hidden="false" customHeight="true" outlineLevel="0" collapsed="false">
      <c r="B14" s="13" t="s">
        <v>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6"/>
  </cols>
  <sheetData>
    <row r="2" customFormat="false" ht="17.35" hidden="false" customHeight="false" outlineLevel="0" collapsed="false">
      <c r="B2" s="14" t="s">
        <v>287</v>
      </c>
    </row>
    <row r="4" customFormat="false" ht="15" hidden="false" customHeight="false" outlineLevel="0" collapsed="false">
      <c r="B4" s="15" t="s">
        <v>288</v>
      </c>
    </row>
    <row r="5" customFormat="false" ht="15" hidden="false" customHeight="false" outlineLevel="0" collapsed="false">
      <c r="B5" s="15"/>
    </row>
    <row r="6" customFormat="false" ht="15" hidden="false" customHeight="false" outlineLevel="0" collapsed="false">
      <c r="B6" s="15" t="s">
        <v>289</v>
      </c>
    </row>
    <row r="7" customFormat="false" ht="15" hidden="false" customHeight="false" outlineLevel="0" collapsed="false">
      <c r="B7" s="15" t="s">
        <v>290</v>
      </c>
    </row>
    <row r="8" customFormat="false" ht="15" hidden="false" customHeight="false" outlineLevel="0" collapsed="false">
      <c r="B8" s="15"/>
    </row>
    <row r="9" customFormat="false" ht="15" hidden="false" customHeight="false" outlineLevel="0" collapsed="false">
      <c r="B9" s="15" t="s">
        <v>291</v>
      </c>
    </row>
    <row r="10" customFormat="false" ht="15" hidden="false" customHeight="false" outlineLevel="0" collapsed="false">
      <c r="B10" s="15" t="s">
        <v>292</v>
      </c>
    </row>
    <row r="11" customFormat="false" ht="15" hidden="false" customHeight="false" outlineLevel="0" collapsed="false">
      <c r="B11" s="15" t="s">
        <v>293</v>
      </c>
    </row>
    <row r="12" customFormat="false" ht="15" hidden="false" customHeight="false" outlineLevel="0" collapsed="false">
      <c r="B12" s="15" t="s">
        <v>294</v>
      </c>
    </row>
    <row r="14" customFormat="false" ht="15" hidden="false" customHeight="false" outlineLevel="0" collapsed="false">
      <c r="B14" s="16" t="s">
        <v>295</v>
      </c>
      <c r="C14" s="16" t="s">
        <v>296</v>
      </c>
      <c r="D14" s="16" t="s">
        <v>297</v>
      </c>
    </row>
    <row r="15" customFormat="false" ht="15" hidden="false" customHeight="false" outlineLevel="0" collapsed="false">
      <c r="B15" s="17" t="s">
        <v>298</v>
      </c>
      <c r="C15" s="17" t="s">
        <v>299</v>
      </c>
      <c r="D15" s="18" t="s">
        <v>300</v>
      </c>
    </row>
    <row r="16" customFormat="false" ht="15" hidden="false" customHeight="false" outlineLevel="0" collapsed="false">
      <c r="B16" s="17" t="s">
        <v>301</v>
      </c>
      <c r="C16" s="17" t="s">
        <v>302</v>
      </c>
      <c r="D16" s="18" t="s">
        <v>303</v>
      </c>
    </row>
    <row r="17" customFormat="false" ht="15" hidden="false" customHeight="false" outlineLevel="0" collapsed="false">
      <c r="B17" s="17" t="s">
        <v>304</v>
      </c>
      <c r="C17" s="17" t="s">
        <v>305</v>
      </c>
      <c r="D17" s="18" t="s">
        <v>306</v>
      </c>
    </row>
    <row r="18" customFormat="false" ht="15" hidden="false" customHeight="false" outlineLevel="0" collapsed="false">
      <c r="B18" s="17" t="s">
        <v>307</v>
      </c>
      <c r="C18" s="17" t="s">
        <v>308</v>
      </c>
      <c r="D18" s="18" t="s">
        <v>309</v>
      </c>
    </row>
    <row r="19" customFormat="false" ht="15" hidden="false" customHeight="false" outlineLevel="0" collapsed="false">
      <c r="B19" s="17" t="s">
        <v>310</v>
      </c>
      <c r="C19" s="17" t="s">
        <v>311</v>
      </c>
      <c r="D19" s="18" t="s">
        <v>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2026-09-09T10:36:22Z</dcterms:created>
  <dc:creator>openpyxl</dc:creator>
  <dc:description/>
  <dc:language>en-US</dc:language>
  <cp:lastModifiedBy/>
  <dcterms:modified xsi:type="dcterms:W3CDTF">2026-09-09T11:03:15Z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